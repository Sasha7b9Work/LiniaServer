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A3E3FEF9-5B6E-42D6-8627-D90AB55AEFE9}" xr6:coauthVersionLast="47" xr6:coauthVersionMax="47" xr10:uidLastSave="{00000000-0000-0000-0000-000000000000}"/>
  <bookViews>
    <workbookView xWindow="1757" yWindow="840" windowWidth="19903" windowHeight="17074" xr2:uid="{00000000-000D-0000-FFFF-FFFF00000000}"/>
  </bookViews>
  <sheets>
    <sheet name="BOM_PCB_PCB_LINE2_base_channel_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8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2" i="1"/>
</calcChain>
</file>

<file path=xl/sharedStrings.xml><?xml version="1.0" encoding="utf-8"?>
<sst xmlns="http://schemas.openxmlformats.org/spreadsheetml/2006/main" count="938" uniqueCount="667">
  <si>
    <t>No.</t>
  </si>
  <si>
    <t>1</t>
  </si>
  <si>
    <t>Конденсатор SMD 100нФ 100В X7R 10% [0805]</t>
  </si>
  <si>
    <t>C101,C102,C103,C104,C105,C106,C107,C108,C109,C110,C111,C112,C113,C114,C115,C116,C117,C118,C119,C120,C121,C122,C123,C124,C125,C126,C129,C130,C131,C132,C133,C134,C135,C136,C201,C205,C206,C214,C215</t>
  </si>
  <si>
    <t>C0805</t>
  </si>
  <si>
    <t/>
  </si>
  <si>
    <t>2</t>
  </si>
  <si>
    <t>TECAP, 100мкФ, 10В, тип C</t>
  </si>
  <si>
    <t>C127</t>
  </si>
  <si>
    <t>CASE-C_6032</t>
  </si>
  <si>
    <t>Kyocera AVX</t>
  </si>
  <si>
    <t>3</t>
  </si>
  <si>
    <t>Конденсатор SMD 10мкФ 100В X7R 10% [0805]</t>
  </si>
  <si>
    <t>C128</t>
  </si>
  <si>
    <t>4</t>
  </si>
  <si>
    <t>Конденсатор SMD 0.33мкФ 100В X7R 10% [0805]</t>
  </si>
  <si>
    <t>C202,C204</t>
  </si>
  <si>
    <t>5</t>
  </si>
  <si>
    <t>TECAP, 4.7мкФ, 35В, тип C</t>
  </si>
  <si>
    <t>C203</t>
  </si>
  <si>
    <t>6</t>
  </si>
  <si>
    <t>Конденсатор SMD 10пФ 100В X7R 10% [0805]</t>
  </si>
  <si>
    <t>C207,C305,C306,C309,C310,C312,C313,C314,C315,C318,C503,C505,C512,C516</t>
  </si>
  <si>
    <t>7</t>
  </si>
  <si>
    <t>Конденсатор SMD 33пФ 100В X7R 10% [0805]</t>
  </si>
  <si>
    <t>C208,C302,C518,C617,C629</t>
  </si>
  <si>
    <t>8</t>
  </si>
  <si>
    <t>Конденсатор SMD 5600пФ 100В X7R 10% [0805]</t>
  </si>
  <si>
    <t>C209,C509,C520,C608</t>
  </si>
  <si>
    <t>9</t>
  </si>
  <si>
    <t>Конденсатор SMD 22пФ 100В X7R 10% [0805]</t>
  </si>
  <si>
    <t>C211,C630</t>
  </si>
  <si>
    <t>10</t>
  </si>
  <si>
    <t>Конденсатор SMD 680пФ 100В X7R 10% [0805]</t>
  </si>
  <si>
    <t>C216,C620,C621,C739</t>
  </si>
  <si>
    <t>11</t>
  </si>
  <si>
    <t>Конденсатор SMD 9100пФ 100В X7R 10% [0805]</t>
  </si>
  <si>
    <t>C217,C611,C612,C615,C616</t>
  </si>
  <si>
    <t>12</t>
  </si>
  <si>
    <t>Конденсатор SMD 1мкФ 100В X7R 10% [1206]</t>
  </si>
  <si>
    <t>C218,C219,C220</t>
  </si>
  <si>
    <t>C1206</t>
  </si>
  <si>
    <t>13</t>
  </si>
  <si>
    <t>Конденсатор SMD 2,2мкФ 100В X7R 10% [0805]</t>
  </si>
  <si>
    <t>C221,C737</t>
  </si>
  <si>
    <t>14</t>
  </si>
  <si>
    <t>Конденсатор SMD 1500пФ 100В X7R 10% [0805]</t>
  </si>
  <si>
    <t>C222,C514,C519</t>
  </si>
  <si>
    <t>15</t>
  </si>
  <si>
    <t>Конденсатор SMD 1мкФ 100В X7R 10% [0805]</t>
  </si>
  <si>
    <t>C301,C703,C704</t>
  </si>
  <si>
    <t>16</t>
  </si>
  <si>
    <t>Конденсатор SMD 68нФ 100В X7R 10% [0805]</t>
  </si>
  <si>
    <t>C303,C304</t>
  </si>
  <si>
    <t>17</t>
  </si>
  <si>
    <t>Конденсатор SMD 68нФ 250В X7R 10% [0805]</t>
  </si>
  <si>
    <t>C307,C308,C311</t>
  </si>
  <si>
    <t>18</t>
  </si>
  <si>
    <t>ECAP (К50-35), 220мкФ, 100В, 105°C, 13x25, p:5мм</t>
  </si>
  <si>
    <t>C316,C317</t>
  </si>
  <si>
    <t>CAP-TH_BD13.0-P5.00-D0.6-FD</t>
  </si>
  <si>
    <t>JB Capacitors</t>
  </si>
  <si>
    <t>19</t>
  </si>
  <si>
    <t>Конденсатор К10-17Б М47 33пФ NP0 5% [DIP]</t>
  </si>
  <si>
    <t>C401</t>
  </si>
  <si>
    <t>К10-17Б М47V2</t>
  </si>
  <si>
    <t>К10-17Б М47</t>
  </si>
  <si>
    <t>20</t>
  </si>
  <si>
    <t>C402,C403,C404,C405</t>
  </si>
  <si>
    <t>21</t>
  </si>
  <si>
    <t>Конденсатор К10-17Б М47 47пФ  NP0 5% [DIP]</t>
  </si>
  <si>
    <t>C501,C502</t>
  </si>
  <si>
    <t>22</t>
  </si>
  <si>
    <t>Конденсатор К10-17Б М47 0,022мкФ  NP0 5% [DIP]</t>
  </si>
  <si>
    <t>C504</t>
  </si>
  <si>
    <t>23</t>
  </si>
  <si>
    <t>Конденсатор К10-17Б М47 33пФ  NP0 5% [DIP]</t>
  </si>
  <si>
    <t>C506</t>
  </si>
  <si>
    <t>24</t>
  </si>
  <si>
    <t>C507</t>
  </si>
  <si>
    <t>25</t>
  </si>
  <si>
    <t>Конденсатор SMD 0,068мкФ 100В X7R 10% [0805]</t>
  </si>
  <si>
    <t>C508,C510,C607,C609</t>
  </si>
  <si>
    <t>26</t>
  </si>
  <si>
    <t>Конденсатор SMD 100пФ 100В X7R 10% [0805]</t>
  </si>
  <si>
    <t>C511,C515,C610</t>
  </si>
  <si>
    <t>27</t>
  </si>
  <si>
    <t>Конденсатор SMD 51пФ 100В X7R 10% [0805]</t>
  </si>
  <si>
    <t>C513,C628</t>
  </si>
  <si>
    <t>28</t>
  </si>
  <si>
    <t>Конденсатор SMD 240пФ 100В X7R 10% [0805]</t>
  </si>
  <si>
    <t>C517,C738</t>
  </si>
  <si>
    <t>29</t>
  </si>
  <si>
    <t>Конденсатор К10-17Б М47 6,8пФ  NP0 5% [DIP]</t>
  </si>
  <si>
    <t>C601</t>
  </si>
  <si>
    <t>30</t>
  </si>
  <si>
    <t>Конденсатор К10-17Б М47 10пФ  NP0 5% [DIP]</t>
  </si>
  <si>
    <t>C602,C604,C605,C631</t>
  </si>
  <si>
    <t>31</t>
  </si>
  <si>
    <t>Конденсатор SMD 15пФ 100В X7R 10% [0805]</t>
  </si>
  <si>
    <t>C603</t>
  </si>
  <si>
    <t>32</t>
  </si>
  <si>
    <t>Конденсатор К10-17Б М47 15пФ  NP0 5% [DIP]</t>
  </si>
  <si>
    <t>C606</t>
  </si>
  <si>
    <t>33</t>
  </si>
  <si>
    <t>Конденсатор SMD 0,33мкФ 100В X7R 10% [0805]</t>
  </si>
  <si>
    <t>C613,C614,C622,C706,C707,C708,C709,C710,C711,C712,C713,C714,C715,C717,C718,C719,C720,C721,C722,C723,C724,C725,C726,C727,C728,C729,C730,C731,C732,C733,C734,C735,C736</t>
  </si>
  <si>
    <t>34</t>
  </si>
  <si>
    <t>Конденсатор SMD 9100пФ 100В X7R 10% [1206]</t>
  </si>
  <si>
    <t>C618,C619</t>
  </si>
  <si>
    <t>35</t>
  </si>
  <si>
    <t>C623,C624</t>
  </si>
  <si>
    <t>36</t>
  </si>
  <si>
    <t>ECAP (К50-35), 4.7мкФ, 100В, 105°C, 5x11, p:2мм</t>
  </si>
  <si>
    <t>C701,C702,C716</t>
  </si>
  <si>
    <t>CAP-TH_BD5.0-P2.00-D0.8-FD</t>
  </si>
  <si>
    <t>Chengx</t>
  </si>
  <si>
    <t>37</t>
  </si>
  <si>
    <t>Конденсатор SMD 3300пФ 100В X7R 10% [0805]</t>
  </si>
  <si>
    <t>C705</t>
  </si>
  <si>
    <t>38</t>
  </si>
  <si>
    <t>Источник опорного напряжения AD587KNZ [DIP-8]</t>
  </si>
  <si>
    <t>DA201</t>
  </si>
  <si>
    <t>PDIP-8_L9.3-W6.4-P2.54-LS7.9-BL-1</t>
  </si>
  <si>
    <t>Analog Devices</t>
  </si>
  <si>
    <t>39</t>
  </si>
  <si>
    <t>Стабилизатор напряжения 78L06-300 [SOT-89]</t>
  </si>
  <si>
    <t>DA202</t>
  </si>
  <si>
    <t>SOT-89-3_L4.5-W2.5-P1.50-LS4.2-BR</t>
  </si>
  <si>
    <t>UMW</t>
  </si>
  <si>
    <t>40</t>
  </si>
  <si>
    <t>Источник опопрного напряжения 4.096 V ADR434 [SOIC-8]</t>
  </si>
  <si>
    <t>DA203</t>
  </si>
  <si>
    <t>SOIC-8_L4.9-W3.9-P1.27-LS6.0-BL</t>
  </si>
  <si>
    <t>41</t>
  </si>
  <si>
    <t>Коммутатор аналоговых сигналов ADG431BRZ [SOIC-16]</t>
  </si>
  <si>
    <t>DA204,DA505</t>
  </si>
  <si>
    <t>SOIC-16_L9.9-W3.9-P1.27-LS6.0-BL</t>
  </si>
  <si>
    <t>42</t>
  </si>
  <si>
    <t>Цифроаналоговый преобразователь AD5531BRUZ [TSSOP-16]</t>
  </si>
  <si>
    <t>DA205</t>
  </si>
  <si>
    <t>TSSOP-16_L5.0-W4.4-P0.65-LS6.4-BL</t>
  </si>
  <si>
    <t>43</t>
  </si>
  <si>
    <t>Коммутатор аналоговых сигналов ADG433BRZ [SOIC-16]</t>
  </si>
  <si>
    <t>DA206,DA503,DA612</t>
  </si>
  <si>
    <t>44</t>
  </si>
  <si>
    <t>Операционный усилитель ADA4627-1BRZ [SOIC-8]</t>
  </si>
  <si>
    <t>DA207,DA502,DA504,DA610,DA611,DA613</t>
  </si>
  <si>
    <t>SOIC-8_L5.0-W4.0-P1.27-LS6.1-BL</t>
  </si>
  <si>
    <t>45</t>
  </si>
  <si>
    <t>Операционный усилитель AD8031 [SOIC-8]</t>
  </si>
  <si>
    <t>DA209</t>
  </si>
  <si>
    <t>46</t>
  </si>
  <si>
    <t>Дифференциальный драйвер 18-разрядных АЦП ADA4941-1YRZ [SOIC-8]</t>
  </si>
  <si>
    <t>DA210</t>
  </si>
  <si>
    <t>47</t>
  </si>
  <si>
    <t>Дифференциальный АЦП АD7691 [MSOP-10]</t>
  </si>
  <si>
    <t>DA211</t>
  </si>
  <si>
    <t>MSOP-10_L3.0-W3.0-P0.50-LS4.9-TL</t>
  </si>
  <si>
    <t>48</t>
  </si>
  <si>
    <t>Логическая функция 2И 74HC08D,653 [SO-14]</t>
  </si>
  <si>
    <t>DA212</t>
  </si>
  <si>
    <t>SOIC-14_L8.7-W3.9-P1.27-LS6.0-BL</t>
  </si>
  <si>
    <t>Nexperia</t>
  </si>
  <si>
    <t>49</t>
  </si>
  <si>
    <t>Операционный усилитель PA340CC [TH]</t>
  </si>
  <si>
    <t>DA301</t>
  </si>
  <si>
    <t>PA340CC</t>
  </si>
  <si>
    <t>Apex Microtechnology</t>
  </si>
  <si>
    <t>50</t>
  </si>
  <si>
    <t>Операционный усилитель TLV9152IDR [SOIC-8]</t>
  </si>
  <si>
    <t>DA501,DA601</t>
  </si>
  <si>
    <t>TI</t>
  </si>
  <si>
    <t>51</t>
  </si>
  <si>
    <t>Операционный усилитель  TLV9151IDCKR [SC-70-5]</t>
  </si>
  <si>
    <t>DA506</t>
  </si>
  <si>
    <t>SC-70-5_L2.1-W1.3-P0.65-LS2.2-BR</t>
  </si>
  <si>
    <t>52</t>
  </si>
  <si>
    <t>Операционный усилитель AD629BN [DIP-8]</t>
  </si>
  <si>
    <t>DA602</t>
  </si>
  <si>
    <t>PDIP-8_L9.6-W6.4-P2.54-LS7.6-BL-1</t>
  </si>
  <si>
    <t>53</t>
  </si>
  <si>
    <t>Операционный усилитель AD8512ARZ [SOIC-8]</t>
  </si>
  <si>
    <t>DA603</t>
  </si>
  <si>
    <t>54</t>
  </si>
  <si>
    <t>Операционный усилитель AD8271 [MSOP-10]</t>
  </si>
  <si>
    <t>DA604</t>
  </si>
  <si>
    <t>MSOP-10_L3.0-W3.0-P0.50-LS5.0-BL</t>
  </si>
  <si>
    <t>55</t>
  </si>
  <si>
    <t>Цифроаналоговый преобразователь AD5300BRTZ [SOT-23-6]</t>
  </si>
  <si>
    <t>DA605</t>
  </si>
  <si>
    <t>SOT-23-6_L2.9-W1.6-P0.95-LS2.8-BL</t>
  </si>
  <si>
    <t>56</t>
  </si>
  <si>
    <t>Операционный усилитель AD8672ARZ [SOIC-8]</t>
  </si>
  <si>
    <t>DA606,DA607</t>
  </si>
  <si>
    <t>57</t>
  </si>
  <si>
    <t>Компаратор КР554СА3А [DIP-8]</t>
  </si>
  <si>
    <t>DA608,DA609</t>
  </si>
  <si>
    <t>DIP-8_L9.7-W6.4-P2.54-LS7.6-BL-1</t>
  </si>
  <si>
    <t>58</t>
  </si>
  <si>
    <t>Операционный усилитель AD8671ARZ [SOIC-8]</t>
  </si>
  <si>
    <t>DA701</t>
  </si>
  <si>
    <t>59</t>
  </si>
  <si>
    <t>Изолированный приемопередатчик ADM2486BRWZ-REEL [SOIC-16]</t>
  </si>
  <si>
    <t>DD101,DD102,DD106,DD107,DD108,DD110</t>
  </si>
  <si>
    <t>SOIC-16_L10.3-W7.5-P1.27-LS10.3-BL</t>
  </si>
  <si>
    <t>60</t>
  </si>
  <si>
    <t>Высокоскоростной цифровой изолятор ADUM1100BRZ-RL7 [SOIC-8]</t>
  </si>
  <si>
    <t>DD103,DD104,DD105,DD109,DD111,DD112,DD113</t>
  </si>
  <si>
    <t>61</t>
  </si>
  <si>
    <t>ПЛИС EPM3128ATC100-10N [TQFP-100]</t>
  </si>
  <si>
    <t>DD114</t>
  </si>
  <si>
    <t>TQFP-100_L14.0-W14.0-P0.50-LS16.0-BL</t>
  </si>
  <si>
    <t>Intel/Altera</t>
  </si>
  <si>
    <t>62</t>
  </si>
  <si>
    <t>Разрядник газонаполненный B88069-X8870-B502 (A81-C90X)</t>
  </si>
  <si>
    <t>FV501,FV502</t>
  </si>
  <si>
    <t>B88069-X8870-B502 (A81-C90X)</t>
  </si>
  <si>
    <t>TDK/EPCOS</t>
  </si>
  <si>
    <t>63</t>
  </si>
  <si>
    <t>Реле герконовое DIP05-1C90-51L [PCB]</t>
  </si>
  <si>
    <t>K201,K603</t>
  </si>
  <si>
    <t>RELAY-TH_STANDEXMEDER_DIP05-1C90-51L</t>
  </si>
  <si>
    <t>STANDEXMEDER</t>
  </si>
  <si>
    <t>64</t>
  </si>
  <si>
    <t>Реле герконовое DIP05-1A72-13L  [PCB]</t>
  </si>
  <si>
    <t>K401,K403,K405,K406,K407,K408,K409,K410,K411,K412,K413,K501,K502,K601,K602</t>
  </si>
  <si>
    <t>RELAY-TH_STANDEXMEDER_DIP05-1A72-13L</t>
  </si>
  <si>
    <t>65</t>
  </si>
  <si>
    <t>Реле герконовое УШЯИ.685442.092 (2 реле)</t>
  </si>
  <si>
    <t>K402</t>
  </si>
  <si>
    <t>УШЯИ.685442.092 В2</t>
  </si>
  <si>
    <t>УШЯИ.685442.092</t>
  </si>
  <si>
    <t>ОАО\"МНИПИ\"</t>
  </si>
  <si>
    <t>66</t>
  </si>
  <si>
    <t>Реле герконовое УШЯИ.685442.092 (1 реле)</t>
  </si>
  <si>
    <t>K404</t>
  </si>
  <si>
    <t>67</t>
  </si>
  <si>
    <t>Control point</t>
  </si>
  <si>
    <t>KT201,KT202,KT203,KT204,KT301,KT302,KT501,KT502,KT503,KT601,KT602,KT604,KT605,KT606,KT607</t>
  </si>
  <si>
    <t>CONTROL POINT</t>
  </si>
  <si>
    <t>68</t>
  </si>
  <si>
    <t>Дроссель LQH55DN101M01 [2220]</t>
  </si>
  <si>
    <t>L1</t>
  </si>
  <si>
    <t>L2220</t>
  </si>
  <si>
    <t>muRata(村田)</t>
  </si>
  <si>
    <t>69</t>
  </si>
  <si>
    <t>Перемычка</t>
  </si>
  <si>
    <t>P501,P502,P503,P504,P505,P506,P507</t>
  </si>
  <si>
    <t>R0805</t>
  </si>
  <si>
    <t>70</t>
  </si>
  <si>
    <t>47кОм</t>
  </si>
  <si>
    <t>PR601</t>
  </si>
  <si>
    <t>RES-ADJ-TH_3329H</t>
  </si>
  <si>
    <t>BOCHEN</t>
  </si>
  <si>
    <t>71</t>
  </si>
  <si>
    <t>Резистор 100Ом 0,125Вт 1% [0805]</t>
  </si>
  <si>
    <t>R101,R103,R105,R107,R109,R111,R117,R118,R119,R120,R121,R122,R123,R124,R125,R126,R127,R128,R129,R130,R131,R132,R133,R134,R135,R136,R137,R138,R139,R140,R141,R142,R143,R144,R145,R146,R147,R148,R149,R150,R151,R152,R153,R154,R155,R156,R157,R158,R159,R160,R161,R162,R163,R325,R532,R533</t>
  </si>
  <si>
    <t>72</t>
  </si>
  <si>
    <t>Резистор 12кОм 0,125Вт 1% [0805]</t>
  </si>
  <si>
    <t>R102,R104,R106,R108,R110,R112,R602,R608,R630,R635,R646</t>
  </si>
  <si>
    <t>73</t>
  </si>
  <si>
    <t>Резистор 1кОм 0,125Вт 1% [0805]</t>
  </si>
  <si>
    <t>R113,R114,R115,R116,R706,R707</t>
  </si>
  <si>
    <t>74</t>
  </si>
  <si>
    <t>Резистор 10кОм 0.25Вт 1% [1206]</t>
  </si>
  <si>
    <t>R201,R623,R624,R625,R626,R631,R634,R638,R640,R642</t>
  </si>
  <si>
    <t>R1206</t>
  </si>
  <si>
    <t>75</t>
  </si>
  <si>
    <t>Резистор 4,99кОм 0.25Вт 1% [1206]</t>
  </si>
  <si>
    <t>R202,R209,R639,R641</t>
  </si>
  <si>
    <t>76</t>
  </si>
  <si>
    <t>Резистор 2,49кОм 0.25Вт 1% [1206]</t>
  </si>
  <si>
    <t>R203,R204</t>
  </si>
  <si>
    <t>77</t>
  </si>
  <si>
    <t>Резистор 9,09кОм 0.25Вт 1% [1206]</t>
  </si>
  <si>
    <t>R205</t>
  </si>
  <si>
    <t>78</t>
  </si>
  <si>
    <t>Резистор 1кОм 0.25Вт 1% [1206]</t>
  </si>
  <si>
    <t>R206</t>
  </si>
  <si>
    <t>79</t>
  </si>
  <si>
    <t>Резистор 120Ом 0.125Вт 1% [0805]</t>
  </si>
  <si>
    <t>R207</t>
  </si>
  <si>
    <t>80</t>
  </si>
  <si>
    <t>Резистор 3,83кОм 0.25Вт 1% [1206]</t>
  </si>
  <si>
    <t>R208,R211</t>
  </si>
  <si>
    <t>81</t>
  </si>
  <si>
    <t>Резистор 40,2кОм 0.25Вт 1% [1206]</t>
  </si>
  <si>
    <t>R210</t>
  </si>
  <si>
    <t>82</t>
  </si>
  <si>
    <t>Резистор 2кОм 0.25Вт 1% [1206]</t>
  </si>
  <si>
    <t>R213,R649,R650</t>
  </si>
  <si>
    <t>83</t>
  </si>
  <si>
    <t>Резистор 24,9кОм 0.25Вт 1% [1206]</t>
  </si>
  <si>
    <t>R217,R219</t>
  </si>
  <si>
    <t>84</t>
  </si>
  <si>
    <t>Резистор 11,8кОм 0.25Вт 1% [1206]</t>
  </si>
  <si>
    <t>R218</t>
  </si>
  <si>
    <t>85</t>
  </si>
  <si>
    <t>Резистор 30,1кОм 0.25Вт 1% [1206]</t>
  </si>
  <si>
    <t>R220</t>
  </si>
  <si>
    <t>86</t>
  </si>
  <si>
    <t>Резистор 20кОм 0.25Вт 1% [1206]</t>
  </si>
  <si>
    <t>R221</t>
  </si>
  <si>
    <t>87</t>
  </si>
  <si>
    <t>Резистор 14кОм 0.25Вт 1% [1206]</t>
  </si>
  <si>
    <t>R222</t>
  </si>
  <si>
    <t>88</t>
  </si>
  <si>
    <t>Резистор 33Ом 0,125Вт 1% [0805]</t>
  </si>
  <si>
    <t>R223,R224</t>
  </si>
  <si>
    <t>89</t>
  </si>
  <si>
    <t>R225,R226,R227,R508,R609,R610</t>
  </si>
  <si>
    <t>90</t>
  </si>
  <si>
    <t>Резистор 22Ом 0,125Вт 1% [0805]</t>
  </si>
  <si>
    <t>R228</t>
  </si>
  <si>
    <t>91</t>
  </si>
  <si>
    <t>Резистор 15Ом 0,125Вт 1% [0805]</t>
  </si>
  <si>
    <t>R229</t>
  </si>
  <si>
    <t>92</t>
  </si>
  <si>
    <t>Резистор 4.6кОм 0,125Вт 1% [0805]</t>
  </si>
  <si>
    <t>R301</t>
  </si>
  <si>
    <t>93</t>
  </si>
  <si>
    <t>Резистор 1.2кОм 0,125Вт 1% [0805]</t>
  </si>
  <si>
    <t>R302,R304</t>
  </si>
  <si>
    <t>94</t>
  </si>
  <si>
    <t>Резистор 1.8кОм 0,125Вт 1% [0805]</t>
  </si>
  <si>
    <t>R303</t>
  </si>
  <si>
    <t>95</t>
  </si>
  <si>
    <t>Резистор 220Ом 0,125Вт 1% [0805]</t>
  </si>
  <si>
    <t>R305,R306,R309,R310</t>
  </si>
  <si>
    <t>96</t>
  </si>
  <si>
    <t>Резистор 22кОм 0,125Вт 1% [0805]</t>
  </si>
  <si>
    <t>R307,R308</t>
  </si>
  <si>
    <t>97</t>
  </si>
  <si>
    <t>Резистор 3кОм 0,125Вт 1% [0805]</t>
  </si>
  <si>
    <t>R311,R319,R701,R704</t>
  </si>
  <si>
    <t>98</t>
  </si>
  <si>
    <t>Резистор 2.4кОм 0,125Вт 1% [0805]</t>
  </si>
  <si>
    <t>R312,R318</t>
  </si>
  <si>
    <t>99</t>
  </si>
  <si>
    <t>Резистор 7.2кОм 0,125Вт 1% [0805]</t>
  </si>
  <si>
    <t>R313,R317</t>
  </si>
  <si>
    <t>100</t>
  </si>
  <si>
    <t>Резистор 18кОм 0,125Вт 1% [0805]</t>
  </si>
  <si>
    <t>R314,R320</t>
  </si>
  <si>
    <t>101</t>
  </si>
  <si>
    <t>Резистор 120Ом 0,125Вт 1% [0805]</t>
  </si>
  <si>
    <t>R315,R316</t>
  </si>
  <si>
    <t>102</t>
  </si>
  <si>
    <t>Резистор 240Ом 0.25Вт 1% [1206]</t>
  </si>
  <si>
    <t>R321,R329</t>
  </si>
  <si>
    <t>103</t>
  </si>
  <si>
    <t>Резистор 1кОм 0,125Вт 5% [0805]</t>
  </si>
  <si>
    <t>R322,R328</t>
  </si>
  <si>
    <t>104</t>
  </si>
  <si>
    <t>Резистор 300Ом 0,125Вт 1% [0805]</t>
  </si>
  <si>
    <t>R323,R327,R620,R621,R622</t>
  </si>
  <si>
    <t>105</t>
  </si>
  <si>
    <t>Резистор MP930-0.04-1% [TO-220-2]</t>
  </si>
  <si>
    <t>R324,R326</t>
  </si>
  <si>
    <t>TO-220-2_L10.4-W3.2-P5.08-L</t>
  </si>
  <si>
    <t>106</t>
  </si>
  <si>
    <t>Резистор 1.5кОм 0,125Вт 1% [0805]</t>
  </si>
  <si>
    <t>R330,R331</t>
  </si>
  <si>
    <t>107</t>
  </si>
  <si>
    <t>Резистор C2-29В-0,25  24кОм ±0,5% [DIP]</t>
  </si>
  <si>
    <t>R401</t>
  </si>
  <si>
    <t>C2-29В-0,25</t>
  </si>
  <si>
    <t>108</t>
  </si>
  <si>
    <t>Резистор SM204031006FE 100МОм ±1%[DIP]</t>
  </si>
  <si>
    <t>R402</t>
  </si>
  <si>
    <t>RES-TH_L27.4-W2.5-P22.86-D0.8</t>
  </si>
  <si>
    <t>Ohmite</t>
  </si>
  <si>
    <t>109</t>
  </si>
  <si>
    <t>Резистор RK1/4DCT52R1105F 11 МОм ±1% [DIP]</t>
  </si>
  <si>
    <t>R403</t>
  </si>
  <si>
    <t>RK1/4DCT52R1105F</t>
  </si>
  <si>
    <t>KOA Speer Electronics</t>
  </si>
  <si>
    <t>110</t>
  </si>
  <si>
    <t>Резистор C2-29В-0,25 1 МОм ±0,5% [DIP]</t>
  </si>
  <si>
    <t>R404</t>
  </si>
  <si>
    <t>111</t>
  </si>
  <si>
    <t>Резистор C2-29В-0,25 100 кОм ±0,5% [DIP]</t>
  </si>
  <si>
    <t>R405</t>
  </si>
  <si>
    <t>112</t>
  </si>
  <si>
    <t>Резистор C2-29B-1 10 кОм ±0,5% [DIP]</t>
  </si>
  <si>
    <t>R406</t>
  </si>
  <si>
    <t>C2-29В-1</t>
  </si>
  <si>
    <t>113</t>
  </si>
  <si>
    <t>Резистор C2-29B-1 1 кОм ±0,5% [DIP]</t>
  </si>
  <si>
    <t>R407</t>
  </si>
  <si>
    <t>114</t>
  </si>
  <si>
    <t>Резистор C2-29B-1 100 Ом ±0,5% [DIP]</t>
  </si>
  <si>
    <t>R408</t>
  </si>
  <si>
    <t>115</t>
  </si>
  <si>
    <t>Резистор C2-29B-2 10 Ом ±0,5% [DIP]</t>
  </si>
  <si>
    <t>R409</t>
  </si>
  <si>
    <t>C2-29В-2</t>
  </si>
  <si>
    <t>116</t>
  </si>
  <si>
    <t>Резистор MP930-2.00-1% [TO-220-2]</t>
  </si>
  <si>
    <t>R410,R411</t>
  </si>
  <si>
    <t>Caddock</t>
  </si>
  <si>
    <t>117</t>
  </si>
  <si>
    <t>Резистор MP930-0.20-1% [TO-220-2]</t>
  </si>
  <si>
    <t>R412,R413</t>
  </si>
  <si>
    <t>118</t>
  </si>
  <si>
    <t>Резистор C2-29В-0,25 1,2кОм ±0,5% [DIP]</t>
  </si>
  <si>
    <t>R501</t>
  </si>
  <si>
    <t>119</t>
  </si>
  <si>
    <t>Резистор C2-29В-0,25 301кОм ±0,5% [DIP]</t>
  </si>
  <si>
    <t>R502</t>
  </si>
  <si>
    <t>120</t>
  </si>
  <si>
    <t>Резистор C2-29В-0,25 5.1кОм ±0,5% [DIP]</t>
  </si>
  <si>
    <t>R503</t>
  </si>
  <si>
    <t>121</t>
  </si>
  <si>
    <t>Резистор 91кОм 0,125Вт 1% [0805]</t>
  </si>
  <si>
    <t>R504</t>
  </si>
  <si>
    <t>122</t>
  </si>
  <si>
    <t>Резистор 2.4кОм 0,25Вт 1% [1206]</t>
  </si>
  <si>
    <t>R505</t>
  </si>
  <si>
    <t>123</t>
  </si>
  <si>
    <t>Резистор C2-29В-0,25 51Ом ±0,5% [DIP]</t>
  </si>
  <si>
    <t>R506</t>
  </si>
  <si>
    <t>124</t>
  </si>
  <si>
    <t>Резистор C2-29В-0,25 22Ом ±0,5% [DIP]</t>
  </si>
  <si>
    <t>R507</t>
  </si>
  <si>
    <t>125</t>
  </si>
  <si>
    <t>Резистор 150Ом 0,25Вт 1% [1206]</t>
  </si>
  <si>
    <t>R509,R510,R611,R612</t>
  </si>
  <si>
    <t>126</t>
  </si>
  <si>
    <t>Резистор 5,1кОм 0,125Вт 1% [0805]</t>
  </si>
  <si>
    <t>R511,R603,R613,R637</t>
  </si>
  <si>
    <t>127</t>
  </si>
  <si>
    <t>Резистор 4,7кОм 0,125Вт 1% [0805]</t>
  </si>
  <si>
    <t>R512,R644,R645</t>
  </si>
  <si>
    <t>128</t>
  </si>
  <si>
    <t>Резистор 820Ом 0,125Вт 1% [0805]</t>
  </si>
  <si>
    <t>R513,R516,R615,R618</t>
  </si>
  <si>
    <t>129</t>
  </si>
  <si>
    <t>Резистор 2кОм 0,125Вт 1% [0805]</t>
  </si>
  <si>
    <t>R514,R517,R616,R619</t>
  </si>
  <si>
    <t>130</t>
  </si>
  <si>
    <t>Резистор 200кОм 0,125Вт 1% [0805]</t>
  </si>
  <si>
    <t>R515,R520,R617</t>
  </si>
  <si>
    <t>131</t>
  </si>
  <si>
    <t>R518</t>
  </si>
  <si>
    <t>132</t>
  </si>
  <si>
    <t>Резистор 15кОм 0,125Вт 1% [0805]</t>
  </si>
  <si>
    <t>R519</t>
  </si>
  <si>
    <t>133</t>
  </si>
  <si>
    <t>Резистор 10кОм 0,125Вт 1% [0805]</t>
  </si>
  <si>
    <t>R521,R627,R628</t>
  </si>
  <si>
    <t>134</t>
  </si>
  <si>
    <t>Резистор 100кОм 0,125Вт 1% [0805]</t>
  </si>
  <si>
    <t>R522</t>
  </si>
  <si>
    <t>135</t>
  </si>
  <si>
    <t>Резистор 4,02кОм 0.25Вт 1% [1206]</t>
  </si>
  <si>
    <t>R523,R524,R525,R526,R527</t>
  </si>
  <si>
    <t>136</t>
  </si>
  <si>
    <t>Резистор 3,6кОм 0,125Вт 1% [0805]</t>
  </si>
  <si>
    <t>R528</t>
  </si>
  <si>
    <t>137</t>
  </si>
  <si>
    <t>Резистор 110кОм 0,125Вт 1% [0805]</t>
  </si>
  <si>
    <t>R529,R530</t>
  </si>
  <si>
    <t>138</t>
  </si>
  <si>
    <t>Резистор 5,3кОм 0,125Вт 1% [0805]</t>
  </si>
  <si>
    <t>R531</t>
  </si>
  <si>
    <t>139</t>
  </si>
  <si>
    <t>Резистор 400Ом 0,125Вт 1% [0805]</t>
  </si>
  <si>
    <t>R534,R537</t>
  </si>
  <si>
    <t>140</t>
  </si>
  <si>
    <t>Резистор 150Ом 0,125Вт 1% [0805]</t>
  </si>
  <si>
    <t>R535,R536,R538,R539,R705</t>
  </si>
  <si>
    <t>141</t>
  </si>
  <si>
    <t>Резистор 51кОм 0,125Вт 1% [0805]</t>
  </si>
  <si>
    <t>R601,R607</t>
  </si>
  <si>
    <t>142</t>
  </si>
  <si>
    <t>Резистор 301кОм 0.25Вт 1% [1206]</t>
  </si>
  <si>
    <t>R604</t>
  </si>
  <si>
    <t>143</t>
  </si>
  <si>
    <t>Резистор C2-29В-0,125 5,1кОм 0,125Вт 1% [DIP]</t>
  </si>
  <si>
    <t>R605</t>
  </si>
  <si>
    <t>R0.125W</t>
  </si>
  <si>
    <t>144</t>
  </si>
  <si>
    <t>Резистор C2-29В-0,125 301кОм 0,125Вт 1% [DIP]</t>
  </si>
  <si>
    <t>R606</t>
  </si>
  <si>
    <t>145</t>
  </si>
  <si>
    <t>Резистор 4,7кОм 0,25Вт 1% [1206]</t>
  </si>
  <si>
    <t>R614</t>
  </si>
  <si>
    <t>146</t>
  </si>
  <si>
    <t>Резистор 470Ом 0,125Вт 1% [0805]</t>
  </si>
  <si>
    <t>R629</t>
  </si>
  <si>
    <t>147</t>
  </si>
  <si>
    <t>Резистор 17,2кОм 0.25Вт 1% [1206]</t>
  </si>
  <si>
    <t>R632,R633</t>
  </si>
  <si>
    <t>148</t>
  </si>
  <si>
    <t>Резистор 10кОм 0.25Вт 1% [0805]</t>
  </si>
  <si>
    <t>R636</t>
  </si>
  <si>
    <t>149</t>
  </si>
  <si>
    <t>Резистор 24кОм 0,125Вт 1% [0805]</t>
  </si>
  <si>
    <t>R643</t>
  </si>
  <si>
    <t>150</t>
  </si>
  <si>
    <t>Резистор 3,3кОм 0,125Вт 1% [0805]</t>
  </si>
  <si>
    <t>R653</t>
  </si>
  <si>
    <t>151</t>
  </si>
  <si>
    <t>Резистор 510Ом 0,125Вт 1% [0805]</t>
  </si>
  <si>
    <t>R702,R703</t>
  </si>
  <si>
    <t>152</t>
  </si>
  <si>
    <t>Резистор 240Ом 0,125Вт 1% [0805]</t>
  </si>
  <si>
    <t>R708</t>
  </si>
  <si>
    <t>153</t>
  </si>
  <si>
    <t>Резистор 1,1кОм 0,125Вт 1% [0805]</t>
  </si>
  <si>
    <t>R709,R710,R711</t>
  </si>
  <si>
    <t>154</t>
  </si>
  <si>
    <t>Резистор 22 кОм 0,125Вт 1% [0805]</t>
  </si>
  <si>
    <t>R712,R714</t>
  </si>
  <si>
    <t>155</t>
  </si>
  <si>
    <t>Резистор 330Ом 0,125Вт 1% [0805]</t>
  </si>
  <si>
    <t>R713</t>
  </si>
  <si>
    <t>156</t>
  </si>
  <si>
    <t>Линейный регулятор напряжения LM1117GS-3.3 [SOT-223]</t>
  </si>
  <si>
    <t>UZ101</t>
  </si>
  <si>
    <t>SOT-223-3_L6.5-W3.4-P2.30-LS7.0-BR</t>
  </si>
  <si>
    <t>HTC</t>
  </si>
  <si>
    <t>157</t>
  </si>
  <si>
    <t>Светодиод YLED0805YG [0805]</t>
  </si>
  <si>
    <t>VD101,VD701,VD702,VD703,VD704,VD705,VD706,VD707</t>
  </si>
  <si>
    <t>LED0805-R-RD</t>
  </si>
  <si>
    <t>YONGYUTAI(永裕泰)</t>
  </si>
  <si>
    <t>158</t>
  </si>
  <si>
    <t>Светодиод FYLS-0805GC [0805]</t>
  </si>
  <si>
    <t>VD102,VD103,VD104,VD105,VD106,VD107,VD108,VD109</t>
  </si>
  <si>
    <t>FYLS-0805GC</t>
  </si>
  <si>
    <t>Ningbo Foryard Optoelectronics</t>
  </si>
  <si>
    <t>159</t>
  </si>
  <si>
    <t>Диод импульсный 1N4448 [SOD-123]</t>
  </si>
  <si>
    <t>VD110,VD201,VD202,VD301,VD302,VD303,VD304,VD305,VD306,VD506,VD507,VD508,VD509,VD614,VD615,VD708,VD709,VD710,VD711,VD712,VD713,VD714,VD715,VD716,VD717</t>
  </si>
  <si>
    <t>SOD-123_L2.7-W1.6-LS3.7-RD-1</t>
  </si>
  <si>
    <t>YANGJIE</t>
  </si>
  <si>
    <t>160</t>
  </si>
  <si>
    <t>Диод импульсный 1N4448 [DO-35]</t>
  </si>
  <si>
    <t>VD111,VD112,VD113,VD114,VD115,VD116,VD117,VD118,VD119,VD120,VD121,VD122,VD123,VD124,VD125,VD126,VD127,VD128,VD501,VD502</t>
  </si>
  <si>
    <t>DO-35_BD2.0-L4.2-P8.20-D0.5-RD</t>
  </si>
  <si>
    <t>onsemi</t>
  </si>
  <si>
    <t>161</t>
  </si>
  <si>
    <t>Диод RS1M [SMA] (допускается замена на FR307 [DO-201AD])</t>
  </si>
  <si>
    <t>VD307,VD309,VD311,VD313</t>
  </si>
  <si>
    <t>SMA/DO-214AC</t>
  </si>
  <si>
    <t>Wild Goose(威谷)</t>
  </si>
  <si>
    <t>162</t>
  </si>
  <si>
    <t>Диод КД2970А [TO-220AC]</t>
  </si>
  <si>
    <t>VD308,VD312</t>
  </si>
  <si>
    <t>TO-220AC-2_L10.0-W4.5-P5.08-T</t>
  </si>
  <si>
    <t>NH(纽航)</t>
  </si>
  <si>
    <t>163</t>
  </si>
  <si>
    <t>Диод защитный 1.5KE56CA [DO-201AD/DO-27]</t>
  </si>
  <si>
    <t>VD310</t>
  </si>
  <si>
    <t>DO-201</t>
  </si>
  <si>
    <t>Littelfuse</t>
  </si>
  <si>
    <t>164</t>
  </si>
  <si>
    <t>Стабилитрон MMSZ5230B 4.7В 0.5Вт [SOD123]</t>
  </si>
  <si>
    <t>VD503,VD601</t>
  </si>
  <si>
    <t>SOD-123_L2.8-W1.8-LS3.7-RD</t>
  </si>
  <si>
    <t>CJ(江苏长电/长晶)</t>
  </si>
  <si>
    <t>165</t>
  </si>
  <si>
    <t>Стабилитрон MMSZ5232B 5.6В 0.5Вт [SOD123]</t>
  </si>
  <si>
    <t>VD504,VD505,VD602,VD603</t>
  </si>
  <si>
    <t>SOD-123_L2.7-W1.6-LS3.7-RD</t>
  </si>
  <si>
    <t>MCC(美微科)</t>
  </si>
  <si>
    <t>166</t>
  </si>
  <si>
    <t>Диод JPAD50 [SOT-23]</t>
  </si>
  <si>
    <t>VD604,VD605,VD606,VD607</t>
  </si>
  <si>
    <t>SOT-23-3_L3.0-W1.6-P1.90-LS2.8-L</t>
  </si>
  <si>
    <t>Calogic</t>
  </si>
  <si>
    <t>167</t>
  </si>
  <si>
    <t>Стабилитрон MMSZ5223B 2.7В 0.5Вт [SOD123]</t>
  </si>
  <si>
    <t>VD608,VD609</t>
  </si>
  <si>
    <t>CJ</t>
  </si>
  <si>
    <t>168</t>
  </si>
  <si>
    <t>Стабилитрон MMSZ5234B 6.2В 0.5Вт [SOD123]</t>
  </si>
  <si>
    <t>VD610,VD611,VD612,VD613</t>
  </si>
  <si>
    <t>169</t>
  </si>
  <si>
    <t>Транзистор полевой MOSFET N-канальный BSS138BK [SOT-23-3]</t>
  </si>
  <si>
    <t>VT101,VT102,VT103,VT104,VT105,VT106,VT107,VT108,VT109,VT110,VT111,VT112,VT113,VT114,VT115,VT116,VT117,VT118,VT119,VT509</t>
  </si>
  <si>
    <t>SOT-23-3_L2.9-W1.3-P1.90-LS2.4-BR</t>
  </si>
  <si>
    <t>ElecSuper(静芯)</t>
  </si>
  <si>
    <t>170</t>
  </si>
  <si>
    <t>Транзистор DZTA92 PNP [SOT223]</t>
  </si>
  <si>
    <t>VT301,VT306,VT308,VT311,VT504,VT505,VT506,VT602,VT603,VT604</t>
  </si>
  <si>
    <t>DIODES(美台)</t>
  </si>
  <si>
    <t>171</t>
  </si>
  <si>
    <t>Транзистор FZT758 PNP [SOT223]</t>
  </si>
  <si>
    <t>VT302,VT502</t>
  </si>
  <si>
    <t>SOT-223_L6.5-W3.5-P2.30-LS7.0-BR</t>
  </si>
  <si>
    <t>172</t>
  </si>
  <si>
    <t>Транзистор DZTA42 NPN [SOT223]</t>
  </si>
  <si>
    <t>VT303,VT305,VT307,VT314,VT503,VT507,VT508,VT601,VT605,VT606</t>
  </si>
  <si>
    <t>SOT-223-4_L6.5-W3.5-P2.30-LS7.0-BR</t>
  </si>
  <si>
    <t>173</t>
  </si>
  <si>
    <t>Транзистор FZT658 NPN [SOT223]</t>
  </si>
  <si>
    <t>VT304</t>
  </si>
  <si>
    <t>174</t>
  </si>
  <si>
    <t>Транзистор ZXMN10A08E6 N-канал 100В 1.9А [SOT-23-6]</t>
  </si>
  <si>
    <t>VT309</t>
  </si>
  <si>
    <t>SOT-23-6_L2.9-W1.6-P0.95-LS2.7-BL</t>
  </si>
  <si>
    <t>VBsemi(微碧半导体)</t>
  </si>
  <si>
    <t>175</t>
  </si>
  <si>
    <t>Транзистор ZXMP10A17E6 P-канал 100В 1.3А [SOT-23-6]</t>
  </si>
  <si>
    <t>VT310</t>
  </si>
  <si>
    <t>176</t>
  </si>
  <si>
    <t>Транзистор FQP13N10  N-канал 100В 12.8А [TO-220]</t>
  </si>
  <si>
    <t>VT312</t>
  </si>
  <si>
    <t>TO-220-3</t>
  </si>
  <si>
    <t>onsemi(安森美)</t>
  </si>
  <si>
    <t>177</t>
  </si>
  <si>
    <t>Транзистор SFP9530 P-канал 100В 10.5А [TO-220]</t>
  </si>
  <si>
    <t>VT313</t>
  </si>
  <si>
    <t>178</t>
  </si>
  <si>
    <t>Транзистор MJE5730G PNP [TO-220-3]</t>
  </si>
  <si>
    <t>VT315</t>
  </si>
  <si>
    <t>TO-220-3_L10.0-W4.5-P2.54-L</t>
  </si>
  <si>
    <t>179</t>
  </si>
  <si>
    <t>Транзистор TIP48 NPN [TO-220-3]</t>
  </si>
  <si>
    <t>VT316</t>
  </si>
  <si>
    <t>180</t>
  </si>
  <si>
    <t>Транзистор DZT658 NPN [SOT223]</t>
  </si>
  <si>
    <t>VT501</t>
  </si>
  <si>
    <t>181</t>
  </si>
  <si>
    <t>Вилка на плату прямая BH2-20 (DS1014-20SF1B-B) 20pin шаг 2.00мм</t>
  </si>
  <si>
    <t>XP101,XP102</t>
  </si>
  <si>
    <t>CONN-TH_20P-P2.00_DS1014-20SF1B</t>
  </si>
  <si>
    <t>CONNFLY</t>
  </si>
  <si>
    <t>182</t>
  </si>
  <si>
    <t>Вилка на плату прямая BH-10 (DS1013-10S) 10pin шаг 2.54мм</t>
  </si>
  <si>
    <t>XP103</t>
  </si>
  <si>
    <t>IDC-TH_10P-P2.54-V-R2-C5-S2.54</t>
  </si>
  <si>
    <t>183</t>
  </si>
  <si>
    <t>Вилка на плату 826629-3 шаг 2.54мм</t>
  </si>
  <si>
    <t>XP201,XP601,XP602</t>
  </si>
  <si>
    <t>HDR-TH_3P-P2.54-V-M-1</t>
  </si>
  <si>
    <t>TE Connectivity</t>
  </si>
  <si>
    <t>184</t>
  </si>
  <si>
    <t>Вилка на плату 280370-2 шаг 2.54мм</t>
  </si>
  <si>
    <t>XP202,XP501,XP503</t>
  </si>
  <si>
    <t>CONN-TH_280370-2</t>
  </si>
  <si>
    <t>185</t>
  </si>
  <si>
    <t>Вилка на плату 280372-1 шаг 2.54мм</t>
  </si>
  <si>
    <t>XP502</t>
  </si>
  <si>
    <t>CONN-TH_280372-1</t>
  </si>
  <si>
    <t>186</t>
  </si>
  <si>
    <t>Вилка на плату 280373-2 шаг 2.54мм</t>
  </si>
  <si>
    <t>XP701</t>
  </si>
  <si>
    <t>CONN-TH_8P-P2.54_280373-1</t>
  </si>
  <si>
    <t>187</t>
  </si>
  <si>
    <t>Вилка на плату 280372-2 шаг 2.54мм</t>
  </si>
  <si>
    <t>XP702</t>
  </si>
  <si>
    <t>CONN-TH_DIP-6-2.54</t>
  </si>
  <si>
    <t>Резистор 40,2кОм 0.25Вт 1% [0805]</t>
  </si>
  <si>
    <t>Наименование</t>
  </si>
  <si>
    <t>Буквенно-цифровое обозначение</t>
  </si>
  <si>
    <t xml:space="preserve">Корпус </t>
  </si>
  <si>
    <t>Производитель</t>
  </si>
  <si>
    <t>Кол.</t>
  </si>
  <si>
    <t>Зеленый цвет</t>
  </si>
  <si>
    <t>Желтый цвет</t>
  </si>
  <si>
    <t>наличие у Грицева</t>
  </si>
  <si>
    <t>наличие у Ефименко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</si>
</sst>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topLeftCell="A133" zoomScale="115" zoomScaleNormal="115" workbookViewId="0">
      <selection activeCell="B182" sqref="A1:G189"/>
    </sheetView>
  </sheetViews>
  <sheetFormatPr defaultRowHeight="14.6" x14ac:dyDescent="0.4"/>
  <cols>
    <col min="1" max="1" width="4" customWidth="1"/>
    <col min="2" max="2" width="73.15234375" customWidth="1"/>
    <col min="3" max="3" width="60.84375" customWidth="1"/>
    <col min="4" max="4" width="33" customWidth="1"/>
    <col min="5" max="5" width="12.921875" customWidth="1"/>
    <col min="6" max="6" width="8.4609375" customWidth="1"/>
    <col min="7" max="7" width="9.3046875" customWidth="1"/>
    <col min="8" max="8" width="9.84375" customWidth="1"/>
    <col min="9" max="9" width="13.53515625" customWidth="1"/>
  </cols>
  <sheetData>
    <row r="1" spans="1:10" x14ac:dyDescent="0.4">
      <c r="A1" t="s">
        <v>0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</row>
    <row r="2" spans="1:10" x14ac:dyDescent="0.4">
      <c r="A2" t="s">
        <v>1</v>
      </c>
      <c r="B2" s="1" t="s">
        <v>52</v>
      </c>
      <c r="C2" s="1" t="s">
        <v>53</v>
      </c>
      <c r="D2" s="1" t="s">
        <v>4</v>
      </c>
      <c r="E2" s="1" t="s">
        <v>5</v>
      </c>
      <c r="F2" s="1">
        <v>2</v>
      </c>
      <c r="G2" s="1">
        <f t="shared" ref="G2:G33" si="0">F2*3*3</f>
        <v>18</v>
      </c>
      <c r="I2" s="1" t="s">
        <v>663</v>
      </c>
      <c r="J2" t="s">
        <v>666</v>
      </c>
    </row>
    <row r="3" spans="1:10" x14ac:dyDescent="0.4">
      <c r="A3" t="s">
        <v>6</v>
      </c>
      <c r="B3" t="s">
        <v>55</v>
      </c>
      <c r="C3" t="s">
        <v>56</v>
      </c>
      <c r="D3" t="s">
        <v>4</v>
      </c>
      <c r="E3" t="s">
        <v>5</v>
      </c>
      <c r="F3">
        <v>3</v>
      </c>
      <c r="G3">
        <f t="shared" si="0"/>
        <v>27</v>
      </c>
      <c r="I3" s="2" t="s">
        <v>664</v>
      </c>
      <c r="J3" t="s">
        <v>665</v>
      </c>
    </row>
    <row r="4" spans="1:10" x14ac:dyDescent="0.4">
      <c r="A4" t="s">
        <v>11</v>
      </c>
      <c r="B4" s="1" t="s">
        <v>81</v>
      </c>
      <c r="C4" s="1" t="s">
        <v>82</v>
      </c>
      <c r="D4" s="1" t="s">
        <v>4</v>
      </c>
      <c r="E4" s="1" t="s">
        <v>5</v>
      </c>
      <c r="F4" s="1">
        <v>4</v>
      </c>
      <c r="G4" s="1">
        <f t="shared" si="0"/>
        <v>36</v>
      </c>
    </row>
    <row r="5" spans="1:10" x14ac:dyDescent="0.4">
      <c r="A5" t="s">
        <v>14</v>
      </c>
      <c r="B5" s="1" t="s">
        <v>2</v>
      </c>
      <c r="C5" s="1" t="s">
        <v>3</v>
      </c>
      <c r="D5" s="1" t="s">
        <v>4</v>
      </c>
      <c r="E5" s="1" t="s">
        <v>5</v>
      </c>
      <c r="F5" s="1">
        <v>39</v>
      </c>
      <c r="G5" s="1">
        <f t="shared" si="0"/>
        <v>351</v>
      </c>
    </row>
    <row r="6" spans="1:10" x14ac:dyDescent="0.4">
      <c r="A6" t="s">
        <v>17</v>
      </c>
      <c r="B6" s="1" t="s">
        <v>2</v>
      </c>
      <c r="C6" s="1" t="s">
        <v>111</v>
      </c>
      <c r="D6" s="1" t="s">
        <v>4</v>
      </c>
      <c r="E6" s="1" t="s">
        <v>5</v>
      </c>
      <c r="F6" s="1">
        <v>2</v>
      </c>
      <c r="G6" s="1">
        <f t="shared" si="0"/>
        <v>18</v>
      </c>
    </row>
    <row r="7" spans="1:10" x14ac:dyDescent="0.4">
      <c r="A7" t="s">
        <v>20</v>
      </c>
      <c r="B7" s="1" t="s">
        <v>15</v>
      </c>
      <c r="C7" s="1" t="s">
        <v>16</v>
      </c>
      <c r="D7" s="1" t="s">
        <v>4</v>
      </c>
      <c r="E7" s="1" t="s">
        <v>5</v>
      </c>
      <c r="F7" s="1">
        <v>2</v>
      </c>
      <c r="G7" s="1">
        <f t="shared" si="0"/>
        <v>18</v>
      </c>
    </row>
    <row r="8" spans="1:10" x14ac:dyDescent="0.4">
      <c r="A8" t="s">
        <v>23</v>
      </c>
      <c r="B8" s="1" t="s">
        <v>105</v>
      </c>
      <c r="C8" s="1" t="s">
        <v>106</v>
      </c>
      <c r="D8" s="1" t="s">
        <v>4</v>
      </c>
      <c r="E8" s="1" t="s">
        <v>5</v>
      </c>
      <c r="F8" s="1">
        <v>33</v>
      </c>
      <c r="G8" s="1">
        <f t="shared" si="0"/>
        <v>297</v>
      </c>
    </row>
    <row r="9" spans="1:10" x14ac:dyDescent="0.4">
      <c r="A9" t="s">
        <v>26</v>
      </c>
      <c r="B9" s="1" t="s">
        <v>21</v>
      </c>
      <c r="C9" s="1" t="s">
        <v>22</v>
      </c>
      <c r="D9" s="1" t="s">
        <v>4</v>
      </c>
      <c r="E9" s="1" t="s">
        <v>5</v>
      </c>
      <c r="F9" s="1">
        <v>14</v>
      </c>
      <c r="G9" s="1">
        <f t="shared" si="0"/>
        <v>126</v>
      </c>
    </row>
    <row r="10" spans="1:10" x14ac:dyDescent="0.4">
      <c r="A10" t="s">
        <v>29</v>
      </c>
      <c r="B10" s="1" t="s">
        <v>99</v>
      </c>
      <c r="C10" s="1" t="s">
        <v>100</v>
      </c>
      <c r="D10" s="1" t="s">
        <v>4</v>
      </c>
      <c r="E10" s="1" t="s">
        <v>5</v>
      </c>
      <c r="F10" s="1">
        <v>1</v>
      </c>
      <c r="G10" s="1">
        <f t="shared" si="0"/>
        <v>9</v>
      </c>
    </row>
    <row r="11" spans="1:10" x14ac:dyDescent="0.4">
      <c r="A11" t="s">
        <v>32</v>
      </c>
      <c r="B11" s="1" t="s">
        <v>30</v>
      </c>
      <c r="C11" s="1" t="s">
        <v>31</v>
      </c>
      <c r="D11" s="1" t="s">
        <v>4</v>
      </c>
      <c r="E11" s="1" t="s">
        <v>5</v>
      </c>
      <c r="F11" s="1">
        <v>2</v>
      </c>
      <c r="G11" s="1">
        <f t="shared" si="0"/>
        <v>18</v>
      </c>
    </row>
    <row r="12" spans="1:10" x14ac:dyDescent="0.4">
      <c r="A12" t="s">
        <v>35</v>
      </c>
      <c r="B12" s="1" t="s">
        <v>24</v>
      </c>
      <c r="C12" s="1" t="s">
        <v>25</v>
      </c>
      <c r="D12" s="1" t="s">
        <v>4</v>
      </c>
      <c r="E12" s="1"/>
      <c r="F12" s="1">
        <v>5</v>
      </c>
      <c r="G12" s="1">
        <f t="shared" si="0"/>
        <v>45</v>
      </c>
    </row>
    <row r="13" spans="1:10" x14ac:dyDescent="0.4">
      <c r="A13" t="s">
        <v>38</v>
      </c>
      <c r="B13" s="1" t="s">
        <v>87</v>
      </c>
      <c r="C13" s="1" t="s">
        <v>88</v>
      </c>
      <c r="D13" s="1" t="s">
        <v>4</v>
      </c>
      <c r="E13" s="1" t="s">
        <v>5</v>
      </c>
      <c r="F13" s="1">
        <v>2</v>
      </c>
      <c r="G13" s="1">
        <f t="shared" si="0"/>
        <v>18</v>
      </c>
    </row>
    <row r="14" spans="1:10" x14ac:dyDescent="0.4">
      <c r="A14" t="s">
        <v>42</v>
      </c>
      <c r="B14" s="1" t="s">
        <v>84</v>
      </c>
      <c r="C14" s="1" t="s">
        <v>85</v>
      </c>
      <c r="D14" s="1" t="s">
        <v>4</v>
      </c>
      <c r="E14" s="1"/>
      <c r="F14" s="1">
        <v>3</v>
      </c>
      <c r="G14" s="1">
        <f t="shared" si="0"/>
        <v>27</v>
      </c>
    </row>
    <row r="15" spans="1:10" x14ac:dyDescent="0.4">
      <c r="A15" t="s">
        <v>45</v>
      </c>
      <c r="B15" s="1" t="s">
        <v>90</v>
      </c>
      <c r="C15" s="1" t="s">
        <v>91</v>
      </c>
      <c r="D15" s="1" t="s">
        <v>4</v>
      </c>
      <c r="E15" s="1"/>
      <c r="F15" s="1">
        <v>2</v>
      </c>
      <c r="G15" s="1">
        <f t="shared" si="0"/>
        <v>18</v>
      </c>
    </row>
    <row r="16" spans="1:10" x14ac:dyDescent="0.4">
      <c r="A16" t="s">
        <v>48</v>
      </c>
      <c r="B16" s="1" t="s">
        <v>33</v>
      </c>
      <c r="C16" s="1" t="s">
        <v>34</v>
      </c>
      <c r="D16" s="1" t="s">
        <v>4</v>
      </c>
      <c r="E16" s="1"/>
      <c r="F16" s="1">
        <v>4</v>
      </c>
      <c r="G16" s="1">
        <f t="shared" si="0"/>
        <v>36</v>
      </c>
    </row>
    <row r="17" spans="1:7" x14ac:dyDescent="0.4">
      <c r="A17" t="s">
        <v>51</v>
      </c>
      <c r="B17" s="1" t="s">
        <v>46</v>
      </c>
      <c r="C17" s="1" t="s">
        <v>47</v>
      </c>
      <c r="D17" s="1" t="s">
        <v>4</v>
      </c>
      <c r="E17" s="1"/>
      <c r="F17" s="1">
        <v>3</v>
      </c>
      <c r="G17" s="1">
        <f t="shared" si="0"/>
        <v>27</v>
      </c>
    </row>
    <row r="18" spans="1:7" x14ac:dyDescent="0.4">
      <c r="A18" t="s">
        <v>54</v>
      </c>
      <c r="B18" s="1" t="s">
        <v>118</v>
      </c>
      <c r="C18" s="1" t="s">
        <v>119</v>
      </c>
      <c r="D18" s="1" t="s">
        <v>4</v>
      </c>
      <c r="E18" s="1" t="s">
        <v>5</v>
      </c>
      <c r="F18" s="1">
        <v>1</v>
      </c>
      <c r="G18" s="1">
        <f t="shared" si="0"/>
        <v>9</v>
      </c>
    </row>
    <row r="19" spans="1:7" x14ac:dyDescent="0.4">
      <c r="A19" t="s">
        <v>57</v>
      </c>
      <c r="B19" s="1" t="s">
        <v>27</v>
      </c>
      <c r="C19" s="1" t="s">
        <v>28</v>
      </c>
      <c r="D19" s="1" t="s">
        <v>4</v>
      </c>
      <c r="E19" s="1"/>
      <c r="F19" s="1">
        <v>4</v>
      </c>
      <c r="G19" s="1">
        <f t="shared" si="0"/>
        <v>36</v>
      </c>
    </row>
    <row r="20" spans="1:7" x14ac:dyDescent="0.4">
      <c r="A20" t="s">
        <v>62</v>
      </c>
      <c r="B20" t="s">
        <v>36</v>
      </c>
      <c r="C20" t="s">
        <v>37</v>
      </c>
      <c r="D20" t="s">
        <v>4</v>
      </c>
      <c r="E20" t="s">
        <v>5</v>
      </c>
      <c r="F20">
        <v>5</v>
      </c>
      <c r="G20">
        <f t="shared" si="0"/>
        <v>45</v>
      </c>
    </row>
    <row r="21" spans="1:7" x14ac:dyDescent="0.4">
      <c r="A21" t="s">
        <v>67</v>
      </c>
      <c r="B21" s="1" t="s">
        <v>49</v>
      </c>
      <c r="C21" s="1" t="s">
        <v>50</v>
      </c>
      <c r="D21" s="1" t="s">
        <v>4</v>
      </c>
      <c r="E21" s="1" t="s">
        <v>5</v>
      </c>
      <c r="F21" s="1">
        <v>3</v>
      </c>
      <c r="G21" s="1">
        <f t="shared" si="0"/>
        <v>27</v>
      </c>
    </row>
    <row r="22" spans="1:7" x14ac:dyDescent="0.4">
      <c r="A22" t="s">
        <v>69</v>
      </c>
      <c r="B22" s="1" t="s">
        <v>43</v>
      </c>
      <c r="C22" s="1" t="s">
        <v>44</v>
      </c>
      <c r="D22" s="1" t="s">
        <v>4</v>
      </c>
      <c r="E22" s="1" t="s">
        <v>5</v>
      </c>
      <c r="F22" s="1">
        <v>2</v>
      </c>
      <c r="G22" s="1">
        <f t="shared" si="0"/>
        <v>18</v>
      </c>
    </row>
    <row r="23" spans="1:7" x14ac:dyDescent="0.4">
      <c r="A23" t="s">
        <v>72</v>
      </c>
      <c r="B23" s="1" t="s">
        <v>12</v>
      </c>
      <c r="C23" s="1" t="s">
        <v>13</v>
      </c>
      <c r="D23" s="1" t="s">
        <v>4</v>
      </c>
      <c r="E23" s="1" t="s">
        <v>5</v>
      </c>
      <c r="F23" s="1">
        <v>1</v>
      </c>
      <c r="G23" s="1">
        <f t="shared" si="0"/>
        <v>9</v>
      </c>
    </row>
    <row r="24" spans="1:7" x14ac:dyDescent="0.4">
      <c r="A24" t="s">
        <v>75</v>
      </c>
      <c r="B24" t="s">
        <v>108</v>
      </c>
      <c r="C24" t="s">
        <v>109</v>
      </c>
      <c r="D24" t="s">
        <v>41</v>
      </c>
      <c r="E24" t="s">
        <v>5</v>
      </c>
      <c r="F24">
        <v>2</v>
      </c>
      <c r="G24">
        <f t="shared" si="0"/>
        <v>18</v>
      </c>
    </row>
    <row r="25" spans="1:7" x14ac:dyDescent="0.4">
      <c r="A25" t="s">
        <v>78</v>
      </c>
      <c r="B25" t="s">
        <v>39</v>
      </c>
      <c r="C25" t="s">
        <v>40</v>
      </c>
      <c r="D25" t="s">
        <v>41</v>
      </c>
      <c r="E25" t="s">
        <v>5</v>
      </c>
      <c r="F25">
        <v>3</v>
      </c>
      <c r="G25">
        <f t="shared" si="0"/>
        <v>27</v>
      </c>
    </row>
    <row r="26" spans="1:7" x14ac:dyDescent="0.4">
      <c r="A26" t="s">
        <v>80</v>
      </c>
      <c r="B26" s="1" t="s">
        <v>18</v>
      </c>
      <c r="C26" s="1" t="s">
        <v>19</v>
      </c>
      <c r="D26" s="1" t="s">
        <v>9</v>
      </c>
      <c r="E26" s="1" t="s">
        <v>10</v>
      </c>
      <c r="F26" s="1">
        <v>1</v>
      </c>
      <c r="G26" s="1">
        <f t="shared" si="0"/>
        <v>9</v>
      </c>
    </row>
    <row r="27" spans="1:7" x14ac:dyDescent="0.4">
      <c r="A27" t="s">
        <v>83</v>
      </c>
      <c r="B27" s="1" t="s">
        <v>7</v>
      </c>
      <c r="C27" s="1" t="s">
        <v>8</v>
      </c>
      <c r="D27" s="1" t="s">
        <v>9</v>
      </c>
      <c r="E27" s="1" t="s">
        <v>10</v>
      </c>
      <c r="F27" s="1">
        <v>1</v>
      </c>
      <c r="G27" s="1">
        <f t="shared" si="0"/>
        <v>9</v>
      </c>
    </row>
    <row r="28" spans="1:7" x14ac:dyDescent="0.4">
      <c r="A28" t="s">
        <v>86</v>
      </c>
      <c r="B28" t="s">
        <v>93</v>
      </c>
      <c r="C28" t="s">
        <v>94</v>
      </c>
      <c r="D28" t="s">
        <v>66</v>
      </c>
      <c r="E28" t="s">
        <v>5</v>
      </c>
      <c r="F28">
        <v>1</v>
      </c>
      <c r="G28">
        <f t="shared" si="0"/>
        <v>9</v>
      </c>
    </row>
    <row r="29" spans="1:7" x14ac:dyDescent="0.4">
      <c r="A29" t="s">
        <v>89</v>
      </c>
      <c r="B29" s="1" t="s">
        <v>96</v>
      </c>
      <c r="C29" s="1" t="s">
        <v>97</v>
      </c>
      <c r="D29" s="1" t="s">
        <v>66</v>
      </c>
      <c r="E29" s="1" t="s">
        <v>5</v>
      </c>
      <c r="F29" s="1">
        <v>4</v>
      </c>
      <c r="G29" s="1">
        <f t="shared" si="0"/>
        <v>36</v>
      </c>
    </row>
    <row r="30" spans="1:7" x14ac:dyDescent="0.4">
      <c r="A30" t="s">
        <v>92</v>
      </c>
      <c r="B30" t="s">
        <v>102</v>
      </c>
      <c r="C30" t="s">
        <v>103</v>
      </c>
      <c r="D30" t="s">
        <v>66</v>
      </c>
      <c r="E30" t="s">
        <v>5</v>
      </c>
      <c r="F30">
        <v>1</v>
      </c>
      <c r="G30">
        <f t="shared" si="0"/>
        <v>9</v>
      </c>
    </row>
    <row r="31" spans="1:7" x14ac:dyDescent="0.4">
      <c r="A31" t="s">
        <v>95</v>
      </c>
      <c r="B31" s="1" t="s">
        <v>63</v>
      </c>
      <c r="C31" s="1" t="s">
        <v>64</v>
      </c>
      <c r="D31" s="1" t="s">
        <v>65</v>
      </c>
      <c r="E31" s="1" t="s">
        <v>5</v>
      </c>
      <c r="F31" s="1">
        <v>1</v>
      </c>
      <c r="G31" s="1">
        <f t="shared" si="0"/>
        <v>9</v>
      </c>
    </row>
    <row r="32" spans="1:7" x14ac:dyDescent="0.4">
      <c r="A32" t="s">
        <v>98</v>
      </c>
      <c r="B32" s="1" t="s">
        <v>63</v>
      </c>
      <c r="C32" s="1" t="s">
        <v>68</v>
      </c>
      <c r="D32" s="1" t="s">
        <v>66</v>
      </c>
      <c r="E32" s="1" t="s">
        <v>5</v>
      </c>
      <c r="F32" s="1">
        <v>4</v>
      </c>
      <c r="G32" s="1">
        <f t="shared" si="0"/>
        <v>36</v>
      </c>
    </row>
    <row r="33" spans="1:7" x14ac:dyDescent="0.4">
      <c r="A33" t="s">
        <v>101</v>
      </c>
      <c r="B33" s="1" t="s">
        <v>76</v>
      </c>
      <c r="C33" s="1" t="s">
        <v>77</v>
      </c>
      <c r="D33" s="1" t="s">
        <v>66</v>
      </c>
      <c r="E33" s="1" t="s">
        <v>5</v>
      </c>
      <c r="F33" s="1">
        <v>1</v>
      </c>
      <c r="G33" s="1">
        <f t="shared" si="0"/>
        <v>9</v>
      </c>
    </row>
    <row r="34" spans="1:7" x14ac:dyDescent="0.4">
      <c r="A34" t="s">
        <v>104</v>
      </c>
      <c r="B34" s="1" t="s">
        <v>70</v>
      </c>
      <c r="C34" s="1" t="s">
        <v>71</v>
      </c>
      <c r="D34" s="1" t="s">
        <v>65</v>
      </c>
      <c r="E34" s="1" t="s">
        <v>5</v>
      </c>
      <c r="F34" s="1">
        <v>2</v>
      </c>
      <c r="G34" s="1">
        <f t="shared" ref="G34:G65" si="1">F34*3*3</f>
        <v>18</v>
      </c>
    </row>
    <row r="35" spans="1:7" x14ac:dyDescent="0.4">
      <c r="A35" t="s">
        <v>107</v>
      </c>
      <c r="B35" s="1" t="s">
        <v>70</v>
      </c>
      <c r="C35" s="1" t="s">
        <v>79</v>
      </c>
      <c r="D35" s="1" t="s">
        <v>66</v>
      </c>
      <c r="E35" s="1" t="s">
        <v>5</v>
      </c>
      <c r="F35" s="1">
        <v>1</v>
      </c>
      <c r="G35" s="1">
        <f t="shared" si="1"/>
        <v>9</v>
      </c>
    </row>
    <row r="36" spans="1:7" x14ac:dyDescent="0.4">
      <c r="A36" t="s">
        <v>110</v>
      </c>
      <c r="B36" s="1" t="s">
        <v>73</v>
      </c>
      <c r="C36" s="1" t="s">
        <v>74</v>
      </c>
      <c r="D36" s="1" t="s">
        <v>66</v>
      </c>
      <c r="E36" s="1" t="s">
        <v>5</v>
      </c>
      <c r="F36" s="1">
        <v>1</v>
      </c>
      <c r="G36" s="1">
        <f t="shared" si="1"/>
        <v>9</v>
      </c>
    </row>
    <row r="37" spans="1:7" x14ac:dyDescent="0.4">
      <c r="A37" t="s">
        <v>112</v>
      </c>
      <c r="B37" s="1" t="s">
        <v>113</v>
      </c>
      <c r="C37" s="1" t="s">
        <v>114</v>
      </c>
      <c r="D37" s="1" t="s">
        <v>115</v>
      </c>
      <c r="E37" s="1" t="s">
        <v>116</v>
      </c>
      <c r="F37" s="1">
        <v>3</v>
      </c>
      <c r="G37" s="1">
        <f t="shared" si="1"/>
        <v>27</v>
      </c>
    </row>
    <row r="38" spans="1:7" x14ac:dyDescent="0.4">
      <c r="A38" t="s">
        <v>117</v>
      </c>
      <c r="B38" t="s">
        <v>58</v>
      </c>
      <c r="C38" t="s">
        <v>59</v>
      </c>
      <c r="D38" t="s">
        <v>60</v>
      </c>
      <c r="E38" t="s">
        <v>61</v>
      </c>
      <c r="F38">
        <v>2</v>
      </c>
      <c r="G38">
        <f t="shared" si="1"/>
        <v>18</v>
      </c>
    </row>
    <row r="39" spans="1:7" x14ac:dyDescent="0.4">
      <c r="A39" t="s">
        <v>120</v>
      </c>
      <c r="B39" s="1" t="s">
        <v>121</v>
      </c>
      <c r="C39" s="1" t="s">
        <v>122</v>
      </c>
      <c r="D39" s="1" t="s">
        <v>123</v>
      </c>
      <c r="E39" s="1" t="s">
        <v>124</v>
      </c>
      <c r="F39" s="1">
        <v>1</v>
      </c>
      <c r="G39" s="1">
        <f t="shared" si="1"/>
        <v>9</v>
      </c>
    </row>
    <row r="40" spans="1:7" x14ac:dyDescent="0.4">
      <c r="A40" t="s">
        <v>125</v>
      </c>
      <c r="B40" s="1" t="s">
        <v>126</v>
      </c>
      <c r="C40" s="1" t="s">
        <v>127</v>
      </c>
      <c r="D40" s="1" t="s">
        <v>128</v>
      </c>
      <c r="E40" s="1" t="s">
        <v>129</v>
      </c>
      <c r="F40" s="1">
        <v>1</v>
      </c>
      <c r="G40" s="1">
        <f t="shared" si="1"/>
        <v>9</v>
      </c>
    </row>
    <row r="41" spans="1:7" x14ac:dyDescent="0.4">
      <c r="A41" t="s">
        <v>130</v>
      </c>
      <c r="B41" s="2" t="s">
        <v>131</v>
      </c>
      <c r="C41" s="2" t="s">
        <v>132</v>
      </c>
      <c r="D41" s="2" t="s">
        <v>133</v>
      </c>
      <c r="E41" s="2" t="s">
        <v>124</v>
      </c>
      <c r="F41" s="2">
        <v>1</v>
      </c>
      <c r="G41" s="2">
        <f t="shared" si="1"/>
        <v>9</v>
      </c>
    </row>
    <row r="42" spans="1:7" x14ac:dyDescent="0.4">
      <c r="A42" t="s">
        <v>134</v>
      </c>
      <c r="B42" t="s">
        <v>135</v>
      </c>
      <c r="C42" t="s">
        <v>136</v>
      </c>
      <c r="D42" t="s">
        <v>137</v>
      </c>
      <c r="E42" t="s">
        <v>124</v>
      </c>
      <c r="F42">
        <v>2</v>
      </c>
      <c r="G42">
        <f t="shared" si="1"/>
        <v>18</v>
      </c>
    </row>
    <row r="43" spans="1:7" x14ac:dyDescent="0.4">
      <c r="A43" t="s">
        <v>138</v>
      </c>
      <c r="B43" t="s">
        <v>139</v>
      </c>
      <c r="C43" t="s">
        <v>140</v>
      </c>
      <c r="D43" t="s">
        <v>141</v>
      </c>
      <c r="E43" t="s">
        <v>124</v>
      </c>
      <c r="F43">
        <v>1</v>
      </c>
      <c r="G43">
        <f t="shared" si="1"/>
        <v>9</v>
      </c>
    </row>
    <row r="44" spans="1:7" x14ac:dyDescent="0.4">
      <c r="A44" t="s">
        <v>142</v>
      </c>
      <c r="B44" s="1" t="s">
        <v>143</v>
      </c>
      <c r="C44" s="1" t="s">
        <v>144</v>
      </c>
      <c r="D44" s="1" t="s">
        <v>137</v>
      </c>
      <c r="E44" s="1" t="s">
        <v>124</v>
      </c>
      <c r="F44" s="1">
        <v>3</v>
      </c>
      <c r="G44" s="1">
        <f t="shared" si="1"/>
        <v>27</v>
      </c>
    </row>
    <row r="45" spans="1:7" x14ac:dyDescent="0.4">
      <c r="A45" t="s">
        <v>145</v>
      </c>
      <c r="B45" t="s">
        <v>146</v>
      </c>
      <c r="C45" t="s">
        <v>147</v>
      </c>
      <c r="D45" t="s">
        <v>148</v>
      </c>
      <c r="E45" t="s">
        <v>124</v>
      </c>
      <c r="F45">
        <v>6</v>
      </c>
      <c r="G45">
        <f t="shared" si="1"/>
        <v>54</v>
      </c>
    </row>
    <row r="46" spans="1:7" x14ac:dyDescent="0.4">
      <c r="A46" t="s">
        <v>149</v>
      </c>
      <c r="B46" s="2" t="s">
        <v>150</v>
      </c>
      <c r="C46" s="2" t="s">
        <v>151</v>
      </c>
      <c r="D46" s="2" t="s">
        <v>133</v>
      </c>
      <c r="E46" s="2" t="s">
        <v>124</v>
      </c>
      <c r="F46" s="2">
        <v>1</v>
      </c>
      <c r="G46" s="2">
        <f t="shared" si="1"/>
        <v>9</v>
      </c>
    </row>
    <row r="47" spans="1:7" x14ac:dyDescent="0.4">
      <c r="A47" t="s">
        <v>152</v>
      </c>
      <c r="B47" t="s">
        <v>153</v>
      </c>
      <c r="C47" t="s">
        <v>154</v>
      </c>
      <c r="D47" t="s">
        <v>133</v>
      </c>
      <c r="E47" t="s">
        <v>124</v>
      </c>
      <c r="F47">
        <v>1</v>
      </c>
      <c r="G47">
        <f t="shared" si="1"/>
        <v>9</v>
      </c>
    </row>
    <row r="48" spans="1:7" x14ac:dyDescent="0.4">
      <c r="A48" t="s">
        <v>155</v>
      </c>
      <c r="B48" s="2" t="s">
        <v>156</v>
      </c>
      <c r="C48" s="2" t="s">
        <v>157</v>
      </c>
      <c r="D48" s="2" t="s">
        <v>158</v>
      </c>
      <c r="E48" s="2" t="s">
        <v>124</v>
      </c>
      <c r="F48" s="2">
        <v>1</v>
      </c>
      <c r="G48" s="2">
        <f t="shared" si="1"/>
        <v>9</v>
      </c>
    </row>
    <row r="49" spans="1:7" x14ac:dyDescent="0.4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>
        <v>1</v>
      </c>
      <c r="G49">
        <f t="shared" si="1"/>
        <v>9</v>
      </c>
    </row>
    <row r="50" spans="1:7" x14ac:dyDescent="0.4">
      <c r="A50" t="s">
        <v>164</v>
      </c>
      <c r="B50" t="s">
        <v>165</v>
      </c>
      <c r="C50" t="s">
        <v>166</v>
      </c>
      <c r="D50" t="s">
        <v>167</v>
      </c>
      <c r="E50" t="s">
        <v>168</v>
      </c>
      <c r="F50">
        <v>1</v>
      </c>
      <c r="G50">
        <f t="shared" si="1"/>
        <v>9</v>
      </c>
    </row>
    <row r="51" spans="1:7" x14ac:dyDescent="0.4">
      <c r="A51" t="s">
        <v>169</v>
      </c>
      <c r="B51" t="s">
        <v>170</v>
      </c>
      <c r="C51" t="s">
        <v>171</v>
      </c>
      <c r="D51" t="s">
        <v>133</v>
      </c>
      <c r="E51" t="s">
        <v>172</v>
      </c>
      <c r="F51">
        <v>2</v>
      </c>
      <c r="G51">
        <f t="shared" si="1"/>
        <v>18</v>
      </c>
    </row>
    <row r="52" spans="1:7" x14ac:dyDescent="0.4">
      <c r="A52" t="s">
        <v>173</v>
      </c>
      <c r="B52" s="1" t="s">
        <v>174</v>
      </c>
      <c r="C52" s="1" t="s">
        <v>175</v>
      </c>
      <c r="D52" s="1" t="s">
        <v>176</v>
      </c>
      <c r="E52" s="1" t="s">
        <v>172</v>
      </c>
      <c r="F52" s="1">
        <v>1</v>
      </c>
      <c r="G52" s="1">
        <f t="shared" si="1"/>
        <v>9</v>
      </c>
    </row>
    <row r="53" spans="1:7" x14ac:dyDescent="0.4">
      <c r="A53" t="s">
        <v>177</v>
      </c>
      <c r="B53" t="s">
        <v>178</v>
      </c>
      <c r="C53" t="s">
        <v>179</v>
      </c>
      <c r="D53" t="s">
        <v>180</v>
      </c>
      <c r="E53" t="s">
        <v>124</v>
      </c>
      <c r="F53">
        <v>1</v>
      </c>
      <c r="G53">
        <f t="shared" si="1"/>
        <v>9</v>
      </c>
    </row>
    <row r="54" spans="1:7" x14ac:dyDescent="0.4">
      <c r="A54" t="s">
        <v>181</v>
      </c>
      <c r="B54" t="s">
        <v>182</v>
      </c>
      <c r="C54" t="s">
        <v>183</v>
      </c>
      <c r="D54" t="s">
        <v>133</v>
      </c>
      <c r="E54" t="s">
        <v>124</v>
      </c>
      <c r="F54">
        <v>1</v>
      </c>
      <c r="G54">
        <f t="shared" si="1"/>
        <v>9</v>
      </c>
    </row>
    <row r="55" spans="1:7" x14ac:dyDescent="0.4">
      <c r="A55" t="s">
        <v>184</v>
      </c>
      <c r="B55" t="s">
        <v>185</v>
      </c>
      <c r="C55" t="s">
        <v>186</v>
      </c>
      <c r="D55" t="s">
        <v>187</v>
      </c>
      <c r="E55" t="s">
        <v>124</v>
      </c>
      <c r="F55">
        <v>1</v>
      </c>
      <c r="G55">
        <f t="shared" si="1"/>
        <v>9</v>
      </c>
    </row>
    <row r="56" spans="1:7" x14ac:dyDescent="0.4">
      <c r="A56" t="s">
        <v>188</v>
      </c>
      <c r="B56" t="s">
        <v>189</v>
      </c>
      <c r="C56" t="s">
        <v>190</v>
      </c>
      <c r="D56" t="s">
        <v>191</v>
      </c>
      <c r="E56" t="s">
        <v>124</v>
      </c>
      <c r="F56">
        <v>1</v>
      </c>
      <c r="G56">
        <f t="shared" si="1"/>
        <v>9</v>
      </c>
    </row>
    <row r="57" spans="1:7" x14ac:dyDescent="0.4">
      <c r="A57" t="s">
        <v>192</v>
      </c>
      <c r="B57" s="2" t="s">
        <v>193</v>
      </c>
      <c r="C57" s="2" t="s">
        <v>194</v>
      </c>
      <c r="D57" s="2" t="s">
        <v>133</v>
      </c>
      <c r="E57" s="2" t="s">
        <v>124</v>
      </c>
      <c r="F57" s="2">
        <v>2</v>
      </c>
      <c r="G57" s="2">
        <f t="shared" si="1"/>
        <v>18</v>
      </c>
    </row>
    <row r="58" spans="1:7" x14ac:dyDescent="0.4">
      <c r="A58" t="s">
        <v>195</v>
      </c>
      <c r="B58" t="s">
        <v>196</v>
      </c>
      <c r="C58" t="s">
        <v>197</v>
      </c>
      <c r="D58" t="s">
        <v>198</v>
      </c>
      <c r="E58" t="s">
        <v>5</v>
      </c>
      <c r="F58">
        <v>2</v>
      </c>
      <c r="G58">
        <f t="shared" si="1"/>
        <v>18</v>
      </c>
    </row>
    <row r="59" spans="1:7" x14ac:dyDescent="0.4">
      <c r="A59" t="s">
        <v>199</v>
      </c>
      <c r="B59" s="2" t="s">
        <v>200</v>
      </c>
      <c r="C59" s="2" t="s">
        <v>201</v>
      </c>
      <c r="D59" s="2" t="s">
        <v>133</v>
      </c>
      <c r="E59" s="2" t="s">
        <v>124</v>
      </c>
      <c r="F59" s="2">
        <v>1</v>
      </c>
      <c r="G59" s="2">
        <f t="shared" si="1"/>
        <v>9</v>
      </c>
    </row>
    <row r="60" spans="1:7" x14ac:dyDescent="0.4">
      <c r="A60" t="s">
        <v>202</v>
      </c>
      <c r="B60" s="2" t="s">
        <v>203</v>
      </c>
      <c r="C60" s="2" t="s">
        <v>204</v>
      </c>
      <c r="D60" s="2" t="s">
        <v>205</v>
      </c>
      <c r="E60" s="2" t="s">
        <v>124</v>
      </c>
      <c r="F60" s="2">
        <v>6</v>
      </c>
      <c r="G60" s="2">
        <f t="shared" si="1"/>
        <v>54</v>
      </c>
    </row>
    <row r="61" spans="1:7" x14ac:dyDescent="0.4">
      <c r="A61" t="s">
        <v>206</v>
      </c>
      <c r="B61" t="s">
        <v>207</v>
      </c>
      <c r="C61" t="s">
        <v>208</v>
      </c>
      <c r="D61" t="s">
        <v>133</v>
      </c>
      <c r="E61" t="s">
        <v>124</v>
      </c>
      <c r="F61">
        <v>7</v>
      </c>
      <c r="G61">
        <f t="shared" si="1"/>
        <v>63</v>
      </c>
    </row>
    <row r="62" spans="1:7" x14ac:dyDescent="0.4">
      <c r="A62" t="s">
        <v>209</v>
      </c>
      <c r="B62" s="1" t="s">
        <v>210</v>
      </c>
      <c r="C62" s="1" t="s">
        <v>211</v>
      </c>
      <c r="D62" s="1" t="s">
        <v>212</v>
      </c>
      <c r="E62" s="1" t="s">
        <v>213</v>
      </c>
      <c r="F62" s="1">
        <v>1</v>
      </c>
      <c r="G62" s="1">
        <f t="shared" si="1"/>
        <v>9</v>
      </c>
    </row>
    <row r="63" spans="1:7" x14ac:dyDescent="0.4">
      <c r="A63" t="s">
        <v>214</v>
      </c>
      <c r="B63" t="s">
        <v>215</v>
      </c>
      <c r="C63" t="s">
        <v>216</v>
      </c>
      <c r="D63" t="s">
        <v>217</v>
      </c>
      <c r="E63" t="s">
        <v>218</v>
      </c>
      <c r="F63">
        <v>2</v>
      </c>
      <c r="G63">
        <f t="shared" si="1"/>
        <v>18</v>
      </c>
    </row>
    <row r="64" spans="1:7" x14ac:dyDescent="0.4">
      <c r="A64" t="s">
        <v>219</v>
      </c>
      <c r="B64" s="1" t="s">
        <v>220</v>
      </c>
      <c r="C64" s="1" t="s">
        <v>221</v>
      </c>
      <c r="D64" s="1" t="s">
        <v>222</v>
      </c>
      <c r="E64" s="1" t="s">
        <v>223</v>
      </c>
      <c r="F64" s="1">
        <v>2</v>
      </c>
      <c r="G64" s="1">
        <f t="shared" si="1"/>
        <v>18</v>
      </c>
    </row>
    <row r="65" spans="1:7" x14ac:dyDescent="0.4">
      <c r="A65" t="s">
        <v>224</v>
      </c>
      <c r="B65" s="1" t="s">
        <v>225</v>
      </c>
      <c r="C65" s="1" t="s">
        <v>226</v>
      </c>
      <c r="D65" s="1" t="s">
        <v>227</v>
      </c>
      <c r="E65" s="1" t="s">
        <v>223</v>
      </c>
      <c r="F65" s="1">
        <v>15</v>
      </c>
      <c r="G65" s="1">
        <f t="shared" si="1"/>
        <v>135</v>
      </c>
    </row>
    <row r="66" spans="1:7" x14ac:dyDescent="0.4">
      <c r="A66" t="s">
        <v>228</v>
      </c>
      <c r="B66" t="s">
        <v>229</v>
      </c>
      <c r="C66" t="s">
        <v>230</v>
      </c>
      <c r="D66" t="s">
        <v>231</v>
      </c>
      <c r="E66" t="s">
        <v>233</v>
      </c>
      <c r="F66">
        <v>1</v>
      </c>
      <c r="G66">
        <f t="shared" ref="G66:G97" si="2">F66*3*3</f>
        <v>9</v>
      </c>
    </row>
    <row r="67" spans="1:7" x14ac:dyDescent="0.4">
      <c r="A67" t="s">
        <v>234</v>
      </c>
      <c r="B67" t="s">
        <v>235</v>
      </c>
      <c r="C67" t="s">
        <v>236</v>
      </c>
      <c r="D67" t="s">
        <v>232</v>
      </c>
      <c r="E67" t="s">
        <v>233</v>
      </c>
      <c r="F67">
        <v>1</v>
      </c>
      <c r="G67">
        <f t="shared" si="2"/>
        <v>9</v>
      </c>
    </row>
    <row r="68" spans="1:7" x14ac:dyDescent="0.4">
      <c r="A68" t="s">
        <v>237</v>
      </c>
      <c r="B68" t="s">
        <v>238</v>
      </c>
      <c r="C68" t="s">
        <v>239</v>
      </c>
      <c r="D68" t="s">
        <v>240</v>
      </c>
      <c r="E68" t="s">
        <v>5</v>
      </c>
      <c r="F68">
        <v>15</v>
      </c>
      <c r="G68">
        <f t="shared" si="2"/>
        <v>135</v>
      </c>
    </row>
    <row r="69" spans="1:7" x14ac:dyDescent="0.4">
      <c r="A69" t="s">
        <v>241</v>
      </c>
      <c r="B69" s="1" t="s">
        <v>242</v>
      </c>
      <c r="C69" s="1" t="s">
        <v>243</v>
      </c>
      <c r="D69" s="1" t="s">
        <v>244</v>
      </c>
      <c r="E69" s="1" t="s">
        <v>245</v>
      </c>
      <c r="F69" s="1">
        <v>1</v>
      </c>
      <c r="G69" s="1">
        <f t="shared" si="2"/>
        <v>9</v>
      </c>
    </row>
    <row r="70" spans="1:7" x14ac:dyDescent="0.4">
      <c r="A70" t="s">
        <v>246</v>
      </c>
      <c r="B70" s="1" t="s">
        <v>251</v>
      </c>
      <c r="C70" s="1" t="s">
        <v>252</v>
      </c>
      <c r="D70" s="1" t="s">
        <v>253</v>
      </c>
      <c r="E70" s="1" t="s">
        <v>254</v>
      </c>
      <c r="F70" s="1">
        <v>1</v>
      </c>
      <c r="G70" s="1">
        <f t="shared" si="2"/>
        <v>9</v>
      </c>
    </row>
    <row r="71" spans="1:7" x14ac:dyDescent="0.4">
      <c r="A71" t="s">
        <v>250</v>
      </c>
      <c r="B71" t="s">
        <v>247</v>
      </c>
      <c r="C71" t="s">
        <v>248</v>
      </c>
      <c r="D71" t="s">
        <v>249</v>
      </c>
      <c r="E71" t="s">
        <v>5</v>
      </c>
      <c r="F71">
        <v>7</v>
      </c>
      <c r="G71">
        <f t="shared" si="2"/>
        <v>63</v>
      </c>
    </row>
    <row r="72" spans="1:7" x14ac:dyDescent="0.4">
      <c r="A72" t="s">
        <v>255</v>
      </c>
      <c r="B72" s="1" t="s">
        <v>316</v>
      </c>
      <c r="C72" s="1" t="s">
        <v>317</v>
      </c>
      <c r="D72" s="1" t="s">
        <v>249</v>
      </c>
      <c r="E72" s="1" t="s">
        <v>5</v>
      </c>
      <c r="F72" s="1">
        <v>1</v>
      </c>
      <c r="G72" s="1">
        <f t="shared" si="2"/>
        <v>9</v>
      </c>
    </row>
    <row r="73" spans="1:7" x14ac:dyDescent="0.4">
      <c r="A73" t="s">
        <v>258</v>
      </c>
      <c r="B73" s="1" t="s">
        <v>313</v>
      </c>
      <c r="C73" s="1" t="s">
        <v>314</v>
      </c>
      <c r="D73" s="1" t="s">
        <v>249</v>
      </c>
      <c r="E73" s="1" t="s">
        <v>5</v>
      </c>
      <c r="F73" s="1">
        <v>1</v>
      </c>
      <c r="G73" s="1">
        <f t="shared" si="2"/>
        <v>9</v>
      </c>
    </row>
    <row r="74" spans="1:7" x14ac:dyDescent="0.4">
      <c r="A74" t="s">
        <v>261</v>
      </c>
      <c r="B74" s="1" t="s">
        <v>308</v>
      </c>
      <c r="C74" s="1" t="s">
        <v>311</v>
      </c>
      <c r="D74" s="1" t="s">
        <v>249</v>
      </c>
      <c r="E74" s="1" t="s">
        <v>5</v>
      </c>
      <c r="F74" s="1">
        <v>6</v>
      </c>
      <c r="G74" s="1">
        <f t="shared" si="2"/>
        <v>54</v>
      </c>
    </row>
    <row r="75" spans="1:7" x14ac:dyDescent="0.4">
      <c r="A75" t="s">
        <v>264</v>
      </c>
      <c r="B75" s="1" t="s">
        <v>256</v>
      </c>
      <c r="C75" s="1" t="s">
        <v>257</v>
      </c>
      <c r="D75" s="1" t="s">
        <v>249</v>
      </c>
      <c r="E75" s="1"/>
      <c r="F75" s="1">
        <v>56</v>
      </c>
      <c r="G75" s="1">
        <f t="shared" si="2"/>
        <v>504</v>
      </c>
    </row>
    <row r="76" spans="1:7" x14ac:dyDescent="0.4">
      <c r="A76" t="s">
        <v>268</v>
      </c>
      <c r="B76" t="s">
        <v>281</v>
      </c>
      <c r="C76" t="s">
        <v>282</v>
      </c>
      <c r="D76" t="s">
        <v>249</v>
      </c>
      <c r="F76">
        <v>1</v>
      </c>
      <c r="G76">
        <f t="shared" si="2"/>
        <v>9</v>
      </c>
    </row>
    <row r="77" spans="1:7" x14ac:dyDescent="0.4">
      <c r="A77" t="s">
        <v>271</v>
      </c>
      <c r="B77" t="s">
        <v>346</v>
      </c>
      <c r="C77" t="s">
        <v>347</v>
      </c>
      <c r="D77" t="s">
        <v>249</v>
      </c>
      <c r="E77" t="s">
        <v>5</v>
      </c>
      <c r="F77">
        <v>2</v>
      </c>
      <c r="G77">
        <f t="shared" si="2"/>
        <v>18</v>
      </c>
    </row>
    <row r="78" spans="1:7" x14ac:dyDescent="0.4">
      <c r="A78" t="s">
        <v>274</v>
      </c>
      <c r="B78" t="s">
        <v>471</v>
      </c>
      <c r="C78" t="s">
        <v>472</v>
      </c>
      <c r="D78" t="s">
        <v>249</v>
      </c>
      <c r="E78" t="s">
        <v>5</v>
      </c>
      <c r="F78">
        <v>5</v>
      </c>
      <c r="G78">
        <f t="shared" si="2"/>
        <v>45</v>
      </c>
    </row>
    <row r="79" spans="1:7" x14ac:dyDescent="0.4">
      <c r="A79" t="s">
        <v>277</v>
      </c>
      <c r="B79" s="1" t="s">
        <v>328</v>
      </c>
      <c r="C79" s="1" t="s">
        <v>329</v>
      </c>
      <c r="D79" s="1" t="s">
        <v>249</v>
      </c>
      <c r="E79" s="1" t="s">
        <v>5</v>
      </c>
      <c r="F79" s="1">
        <v>4</v>
      </c>
      <c r="G79" s="1">
        <f t="shared" si="2"/>
        <v>36</v>
      </c>
    </row>
    <row r="80" spans="1:7" x14ac:dyDescent="0.4">
      <c r="A80" t="s">
        <v>280</v>
      </c>
      <c r="B80" t="s">
        <v>349</v>
      </c>
      <c r="C80" t="s">
        <v>350</v>
      </c>
      <c r="D80" t="s">
        <v>249</v>
      </c>
      <c r="E80" t="s">
        <v>5</v>
      </c>
      <c r="F80">
        <v>2</v>
      </c>
      <c r="G80">
        <f t="shared" si="2"/>
        <v>18</v>
      </c>
    </row>
    <row r="81" spans="1:7" x14ac:dyDescent="0.4">
      <c r="A81" t="s">
        <v>283</v>
      </c>
      <c r="B81" t="s">
        <v>508</v>
      </c>
      <c r="C81" t="s">
        <v>509</v>
      </c>
      <c r="D81" t="s">
        <v>249</v>
      </c>
      <c r="E81" t="s">
        <v>5</v>
      </c>
      <c r="F81">
        <v>1</v>
      </c>
      <c r="G81">
        <f t="shared" si="2"/>
        <v>9</v>
      </c>
    </row>
    <row r="82" spans="1:7" x14ac:dyDescent="0.4">
      <c r="A82" t="s">
        <v>286</v>
      </c>
      <c r="B82" s="1" t="s">
        <v>355</v>
      </c>
      <c r="C82" s="1" t="s">
        <v>356</v>
      </c>
      <c r="D82" s="1" t="s">
        <v>249</v>
      </c>
      <c r="E82" s="1" t="s">
        <v>5</v>
      </c>
      <c r="F82" s="1">
        <v>5</v>
      </c>
      <c r="G82" s="1">
        <f t="shared" si="2"/>
        <v>45</v>
      </c>
    </row>
    <row r="83" spans="1:7" x14ac:dyDescent="0.4">
      <c r="A83" t="s">
        <v>289</v>
      </c>
      <c r="B83" t="s">
        <v>517</v>
      </c>
      <c r="C83" t="s">
        <v>518</v>
      </c>
      <c r="D83" t="s">
        <v>249</v>
      </c>
      <c r="E83" t="s">
        <v>5</v>
      </c>
      <c r="F83">
        <v>1</v>
      </c>
      <c r="G83">
        <f t="shared" si="2"/>
        <v>9</v>
      </c>
    </row>
    <row r="84" spans="1:7" x14ac:dyDescent="0.4">
      <c r="A84" t="s">
        <v>292</v>
      </c>
      <c r="B84" s="1" t="s">
        <v>468</v>
      </c>
      <c r="C84" s="1" t="s">
        <v>469</v>
      </c>
      <c r="D84" s="1" t="s">
        <v>249</v>
      </c>
      <c r="E84" s="1" t="s">
        <v>5</v>
      </c>
      <c r="F84" s="1">
        <v>2</v>
      </c>
      <c r="G84" s="1">
        <f t="shared" si="2"/>
        <v>18</v>
      </c>
    </row>
    <row r="85" spans="1:7" x14ac:dyDescent="0.4">
      <c r="A85" t="s">
        <v>295</v>
      </c>
      <c r="B85" s="1" t="s">
        <v>490</v>
      </c>
      <c r="C85" s="1" t="s">
        <v>491</v>
      </c>
      <c r="D85" s="1" t="s">
        <v>249</v>
      </c>
      <c r="E85" s="1" t="s">
        <v>5</v>
      </c>
      <c r="F85" s="1">
        <v>1</v>
      </c>
      <c r="G85" s="1">
        <f t="shared" si="2"/>
        <v>9</v>
      </c>
    </row>
    <row r="86" spans="1:7" x14ac:dyDescent="0.4">
      <c r="A86" t="s">
        <v>298</v>
      </c>
      <c r="B86" t="s">
        <v>505</v>
      </c>
      <c r="C86" t="s">
        <v>506</v>
      </c>
      <c r="D86" t="s">
        <v>249</v>
      </c>
      <c r="E86" t="s">
        <v>5</v>
      </c>
      <c r="F86">
        <v>2</v>
      </c>
      <c r="G86">
        <f t="shared" si="2"/>
        <v>18</v>
      </c>
    </row>
    <row r="87" spans="1:7" x14ac:dyDescent="0.4">
      <c r="A87" t="s">
        <v>301</v>
      </c>
      <c r="B87" t="s">
        <v>436</v>
      </c>
      <c r="C87" t="s">
        <v>437</v>
      </c>
      <c r="D87" t="s">
        <v>249</v>
      </c>
      <c r="E87" t="s">
        <v>5</v>
      </c>
      <c r="F87">
        <v>4</v>
      </c>
      <c r="G87">
        <f t="shared" si="2"/>
        <v>36</v>
      </c>
    </row>
    <row r="88" spans="1:7" x14ac:dyDescent="0.4">
      <c r="A88" t="s">
        <v>304</v>
      </c>
      <c r="B88" s="1" t="s">
        <v>262</v>
      </c>
      <c r="C88" s="1" t="s">
        <v>263</v>
      </c>
      <c r="D88" s="1" t="s">
        <v>249</v>
      </c>
      <c r="E88" s="1" t="s">
        <v>5</v>
      </c>
      <c r="F88" s="1">
        <v>6</v>
      </c>
      <c r="G88" s="1">
        <f t="shared" si="2"/>
        <v>54</v>
      </c>
    </row>
    <row r="89" spans="1:7" x14ac:dyDescent="0.4">
      <c r="A89" t="s">
        <v>307</v>
      </c>
      <c r="B89" s="1" t="s">
        <v>352</v>
      </c>
      <c r="C89" s="1" t="s">
        <v>353</v>
      </c>
      <c r="D89" s="1" t="s">
        <v>249</v>
      </c>
      <c r="E89" s="1" t="s">
        <v>5</v>
      </c>
      <c r="F89" s="1">
        <v>2</v>
      </c>
      <c r="G89" s="1">
        <f t="shared" si="2"/>
        <v>18</v>
      </c>
    </row>
    <row r="90" spans="1:7" x14ac:dyDescent="0.4">
      <c r="A90" t="s">
        <v>310</v>
      </c>
      <c r="B90" t="s">
        <v>511</v>
      </c>
      <c r="C90" t="s">
        <v>512</v>
      </c>
      <c r="D90" t="s">
        <v>249</v>
      </c>
      <c r="E90" t="s">
        <v>5</v>
      </c>
      <c r="F90">
        <v>3</v>
      </c>
      <c r="G90">
        <f t="shared" si="2"/>
        <v>27</v>
      </c>
    </row>
    <row r="91" spans="1:7" x14ac:dyDescent="0.4">
      <c r="A91" t="s">
        <v>312</v>
      </c>
      <c r="B91" t="s">
        <v>322</v>
      </c>
      <c r="C91" t="s">
        <v>323</v>
      </c>
      <c r="D91" t="s">
        <v>249</v>
      </c>
      <c r="E91" t="s">
        <v>5</v>
      </c>
      <c r="F91">
        <v>2</v>
      </c>
      <c r="G91">
        <f t="shared" si="2"/>
        <v>18</v>
      </c>
    </row>
    <row r="92" spans="1:7" x14ac:dyDescent="0.4">
      <c r="A92" t="s">
        <v>315</v>
      </c>
      <c r="B92" t="s">
        <v>362</v>
      </c>
      <c r="C92" t="s">
        <v>363</v>
      </c>
      <c r="D92" t="s">
        <v>249</v>
      </c>
      <c r="E92" t="s">
        <v>5</v>
      </c>
      <c r="F92">
        <v>2</v>
      </c>
      <c r="G92">
        <f t="shared" si="2"/>
        <v>18</v>
      </c>
    </row>
    <row r="93" spans="1:7" x14ac:dyDescent="0.4">
      <c r="A93" t="s">
        <v>318</v>
      </c>
      <c r="B93" t="s">
        <v>325</v>
      </c>
      <c r="C93" t="s">
        <v>326</v>
      </c>
      <c r="D93" t="s">
        <v>249</v>
      </c>
      <c r="E93" t="s">
        <v>5</v>
      </c>
      <c r="F93">
        <v>1</v>
      </c>
      <c r="G93">
        <f t="shared" si="2"/>
        <v>9</v>
      </c>
    </row>
    <row r="94" spans="1:7" x14ac:dyDescent="0.4">
      <c r="A94" t="s">
        <v>321</v>
      </c>
      <c r="B94" t="s">
        <v>439</v>
      </c>
      <c r="C94" t="s">
        <v>440</v>
      </c>
      <c r="D94" t="s">
        <v>249</v>
      </c>
      <c r="E94" t="s">
        <v>5</v>
      </c>
      <c r="F94">
        <v>4</v>
      </c>
      <c r="G94">
        <f t="shared" si="2"/>
        <v>36</v>
      </c>
    </row>
    <row r="95" spans="1:7" x14ac:dyDescent="0.4">
      <c r="A95" t="s">
        <v>324</v>
      </c>
      <c r="B95" s="1" t="s">
        <v>337</v>
      </c>
      <c r="C95" s="1" t="s">
        <v>338</v>
      </c>
      <c r="D95" s="1" t="s">
        <v>249</v>
      </c>
      <c r="E95" s="1" t="s">
        <v>5</v>
      </c>
      <c r="F95" s="1">
        <v>2</v>
      </c>
      <c r="G95" s="1">
        <f t="shared" si="2"/>
        <v>18</v>
      </c>
    </row>
    <row r="96" spans="1:7" x14ac:dyDescent="0.4">
      <c r="A96" t="s">
        <v>327</v>
      </c>
      <c r="B96" t="s">
        <v>334</v>
      </c>
      <c r="C96" t="s">
        <v>335</v>
      </c>
      <c r="D96" t="s">
        <v>249</v>
      </c>
      <c r="E96" t="s">
        <v>5</v>
      </c>
      <c r="F96">
        <v>4</v>
      </c>
      <c r="G96">
        <f t="shared" si="2"/>
        <v>36</v>
      </c>
    </row>
    <row r="97" spans="1:7" x14ac:dyDescent="0.4">
      <c r="A97" t="s">
        <v>330</v>
      </c>
      <c r="B97" s="1" t="s">
        <v>502</v>
      </c>
      <c r="C97" s="1" t="s">
        <v>503</v>
      </c>
      <c r="D97" s="1" t="s">
        <v>249</v>
      </c>
      <c r="E97" s="1" t="s">
        <v>5</v>
      </c>
      <c r="F97" s="1">
        <v>1</v>
      </c>
      <c r="G97" s="1">
        <f t="shared" si="2"/>
        <v>9</v>
      </c>
    </row>
    <row r="98" spans="1:7" x14ac:dyDescent="0.4">
      <c r="A98" t="s">
        <v>333</v>
      </c>
      <c r="B98" t="s">
        <v>459</v>
      </c>
      <c r="C98" t="s">
        <v>460</v>
      </c>
      <c r="D98" t="s">
        <v>249</v>
      </c>
      <c r="E98" t="s">
        <v>5</v>
      </c>
      <c r="F98">
        <v>1</v>
      </c>
      <c r="G98">
        <f t="shared" ref="G98:G129" si="3">F98*3*3</f>
        <v>9</v>
      </c>
    </row>
    <row r="99" spans="1:7" x14ac:dyDescent="0.4">
      <c r="A99" t="s">
        <v>336</v>
      </c>
      <c r="B99" s="1" t="s">
        <v>319</v>
      </c>
      <c r="C99" s="1" t="s">
        <v>320</v>
      </c>
      <c r="D99" s="1" t="s">
        <v>249</v>
      </c>
      <c r="E99" s="1" t="s">
        <v>5</v>
      </c>
      <c r="F99" s="1">
        <v>1</v>
      </c>
      <c r="G99" s="1">
        <f t="shared" si="3"/>
        <v>9</v>
      </c>
    </row>
    <row r="100" spans="1:7" x14ac:dyDescent="0.4">
      <c r="A100" t="s">
        <v>339</v>
      </c>
      <c r="B100" s="1" t="s">
        <v>433</v>
      </c>
      <c r="C100" s="1" t="s">
        <v>434</v>
      </c>
      <c r="D100" s="1" t="s">
        <v>249</v>
      </c>
      <c r="E100" s="1" t="s">
        <v>5</v>
      </c>
      <c r="F100" s="1">
        <v>3</v>
      </c>
      <c r="G100" s="1">
        <f t="shared" si="3"/>
        <v>27</v>
      </c>
    </row>
    <row r="101" spans="1:7" x14ac:dyDescent="0.4">
      <c r="A101" t="s">
        <v>342</v>
      </c>
      <c r="B101" t="s">
        <v>430</v>
      </c>
      <c r="C101" t="s">
        <v>431</v>
      </c>
      <c r="D101" t="s">
        <v>249</v>
      </c>
      <c r="E101" t="s">
        <v>5</v>
      </c>
      <c r="F101">
        <v>4</v>
      </c>
      <c r="G101">
        <f t="shared" si="3"/>
        <v>36</v>
      </c>
    </row>
    <row r="102" spans="1:7" x14ac:dyDescent="0.4">
      <c r="A102" t="s">
        <v>345</v>
      </c>
      <c r="B102" s="1" t="s">
        <v>465</v>
      </c>
      <c r="C102" s="1" t="s">
        <v>466</v>
      </c>
      <c r="D102" s="1" t="s">
        <v>249</v>
      </c>
      <c r="E102" s="1" t="s">
        <v>5</v>
      </c>
      <c r="F102" s="1">
        <v>1</v>
      </c>
      <c r="G102" s="1">
        <f t="shared" si="3"/>
        <v>9</v>
      </c>
    </row>
    <row r="103" spans="1:7" x14ac:dyDescent="0.4">
      <c r="A103" t="s">
        <v>348</v>
      </c>
      <c r="B103" s="1" t="s">
        <v>340</v>
      </c>
      <c r="C103" s="1" t="s">
        <v>341</v>
      </c>
      <c r="D103" s="1" t="s">
        <v>249</v>
      </c>
      <c r="E103" s="1" t="s">
        <v>5</v>
      </c>
      <c r="F103" s="1">
        <v>2</v>
      </c>
      <c r="G103" s="1">
        <f t="shared" si="3"/>
        <v>18</v>
      </c>
    </row>
    <row r="104" spans="1:7" x14ac:dyDescent="0.4">
      <c r="A104" t="s">
        <v>351</v>
      </c>
      <c r="B104" t="s">
        <v>450</v>
      </c>
      <c r="C104" t="s">
        <v>451</v>
      </c>
      <c r="D104" t="s">
        <v>249</v>
      </c>
      <c r="E104" t="s">
        <v>5</v>
      </c>
      <c r="F104">
        <v>3</v>
      </c>
      <c r="G104">
        <f t="shared" si="3"/>
        <v>27</v>
      </c>
    </row>
    <row r="105" spans="1:7" x14ac:dyDescent="0.4">
      <c r="A105" t="s">
        <v>354</v>
      </c>
      <c r="B105" t="s">
        <v>496</v>
      </c>
      <c r="C105" t="s">
        <v>497</v>
      </c>
      <c r="D105" t="s">
        <v>249</v>
      </c>
      <c r="E105" t="s">
        <v>5</v>
      </c>
      <c r="F105">
        <v>1</v>
      </c>
      <c r="G105">
        <f t="shared" si="3"/>
        <v>9</v>
      </c>
    </row>
    <row r="106" spans="1:7" x14ac:dyDescent="0.4">
      <c r="A106" t="s">
        <v>357</v>
      </c>
      <c r="B106" t="s">
        <v>259</v>
      </c>
      <c r="C106" t="s">
        <v>260</v>
      </c>
      <c r="D106" t="s">
        <v>249</v>
      </c>
      <c r="E106" t="s">
        <v>5</v>
      </c>
      <c r="F106">
        <v>11</v>
      </c>
      <c r="G106">
        <f t="shared" si="3"/>
        <v>99</v>
      </c>
    </row>
    <row r="107" spans="1:7" x14ac:dyDescent="0.4">
      <c r="A107" t="s">
        <v>361</v>
      </c>
      <c r="B107" s="1" t="s">
        <v>447</v>
      </c>
      <c r="C107" s="1" t="s">
        <v>448</v>
      </c>
      <c r="D107" s="1" t="s">
        <v>249</v>
      </c>
      <c r="E107" s="1" t="s">
        <v>5</v>
      </c>
      <c r="F107" s="1">
        <v>1</v>
      </c>
      <c r="G107" s="1">
        <f t="shared" si="3"/>
        <v>9</v>
      </c>
    </row>
    <row r="108" spans="1:7" x14ac:dyDescent="0.4">
      <c r="A108" t="s">
        <v>364</v>
      </c>
      <c r="B108" t="s">
        <v>343</v>
      </c>
      <c r="C108" t="s">
        <v>344</v>
      </c>
      <c r="D108" t="s">
        <v>249</v>
      </c>
      <c r="E108" t="s">
        <v>5</v>
      </c>
      <c r="F108">
        <v>2</v>
      </c>
      <c r="G108">
        <f t="shared" si="3"/>
        <v>18</v>
      </c>
    </row>
    <row r="109" spans="1:7" x14ac:dyDescent="0.4">
      <c r="A109" t="s">
        <v>368</v>
      </c>
      <c r="B109" t="s">
        <v>331</v>
      </c>
      <c r="C109" t="s">
        <v>332</v>
      </c>
      <c r="D109" t="s">
        <v>249</v>
      </c>
      <c r="E109" t="s">
        <v>5</v>
      </c>
      <c r="F109">
        <v>2</v>
      </c>
      <c r="G109">
        <f t="shared" si="3"/>
        <v>18</v>
      </c>
    </row>
    <row r="110" spans="1:7" x14ac:dyDescent="0.4">
      <c r="A110" t="s">
        <v>373</v>
      </c>
      <c r="B110" t="s">
        <v>514</v>
      </c>
      <c r="C110" t="s">
        <v>515</v>
      </c>
      <c r="D110" t="s">
        <v>249</v>
      </c>
      <c r="E110" t="s">
        <v>5</v>
      </c>
      <c r="F110">
        <v>2</v>
      </c>
      <c r="G110">
        <f t="shared" si="3"/>
        <v>18</v>
      </c>
    </row>
    <row r="111" spans="1:7" x14ac:dyDescent="0.4">
      <c r="A111" t="s">
        <v>378</v>
      </c>
      <c r="B111" t="s">
        <v>499</v>
      </c>
      <c r="C111" t="s">
        <v>500</v>
      </c>
      <c r="D111" t="s">
        <v>249</v>
      </c>
      <c r="E111" t="s">
        <v>5</v>
      </c>
      <c r="F111">
        <v>1</v>
      </c>
      <c r="G111">
        <f t="shared" si="3"/>
        <v>9</v>
      </c>
    </row>
    <row r="112" spans="1:7" x14ac:dyDescent="0.4">
      <c r="A112" t="s">
        <v>381</v>
      </c>
      <c r="B112" t="s">
        <v>657</v>
      </c>
      <c r="C112" t="s">
        <v>445</v>
      </c>
      <c r="D112" t="s">
        <v>249</v>
      </c>
      <c r="E112" t="s">
        <v>5</v>
      </c>
      <c r="F112">
        <v>1</v>
      </c>
      <c r="G112">
        <f t="shared" si="3"/>
        <v>9</v>
      </c>
    </row>
    <row r="113" spans="1:7" x14ac:dyDescent="0.4">
      <c r="A113" t="s">
        <v>384</v>
      </c>
      <c r="B113" t="s">
        <v>474</v>
      </c>
      <c r="C113" t="s">
        <v>475</v>
      </c>
      <c r="D113" t="s">
        <v>249</v>
      </c>
      <c r="E113" t="s">
        <v>5</v>
      </c>
      <c r="F113">
        <v>2</v>
      </c>
      <c r="G113">
        <f t="shared" si="3"/>
        <v>18</v>
      </c>
    </row>
    <row r="114" spans="1:7" x14ac:dyDescent="0.4">
      <c r="A114" t="s">
        <v>388</v>
      </c>
      <c r="B114" t="s">
        <v>415</v>
      </c>
      <c r="C114" t="s">
        <v>416</v>
      </c>
      <c r="D114" t="s">
        <v>249</v>
      </c>
      <c r="E114" t="s">
        <v>5</v>
      </c>
      <c r="F114">
        <v>1</v>
      </c>
      <c r="G114">
        <f t="shared" si="3"/>
        <v>9</v>
      </c>
    </row>
    <row r="115" spans="1:7" x14ac:dyDescent="0.4">
      <c r="A115" t="s">
        <v>391</v>
      </c>
      <c r="B115" t="s">
        <v>453</v>
      </c>
      <c r="C115" t="s">
        <v>454</v>
      </c>
      <c r="D115" t="s">
        <v>249</v>
      </c>
      <c r="E115" t="s">
        <v>5</v>
      </c>
      <c r="F115">
        <v>1</v>
      </c>
      <c r="G115">
        <f t="shared" si="3"/>
        <v>9</v>
      </c>
    </row>
    <row r="116" spans="1:7" x14ac:dyDescent="0.4">
      <c r="A116" t="s">
        <v>394</v>
      </c>
      <c r="B116" t="s">
        <v>462</v>
      </c>
      <c r="C116" t="s">
        <v>463</v>
      </c>
      <c r="D116" t="s">
        <v>249</v>
      </c>
      <c r="E116" t="s">
        <v>5</v>
      </c>
      <c r="F116">
        <v>2</v>
      </c>
      <c r="G116">
        <f t="shared" si="3"/>
        <v>18</v>
      </c>
    </row>
    <row r="117" spans="1:7" x14ac:dyDescent="0.4">
      <c r="A117" t="s">
        <v>398</v>
      </c>
      <c r="B117" s="1" t="s">
        <v>442</v>
      </c>
      <c r="C117" s="1" t="s">
        <v>443</v>
      </c>
      <c r="D117" s="1" t="s">
        <v>249</v>
      </c>
      <c r="E117" s="1" t="s">
        <v>5</v>
      </c>
      <c r="F117" s="1">
        <v>3</v>
      </c>
      <c r="G117" s="1">
        <f t="shared" si="3"/>
        <v>27</v>
      </c>
    </row>
    <row r="118" spans="1:7" x14ac:dyDescent="0.4">
      <c r="A118" t="s">
        <v>402</v>
      </c>
      <c r="B118" t="s">
        <v>308</v>
      </c>
      <c r="C118" t="s">
        <v>309</v>
      </c>
      <c r="D118" t="s">
        <v>267</v>
      </c>
      <c r="E118" t="s">
        <v>5</v>
      </c>
      <c r="F118">
        <v>2</v>
      </c>
      <c r="G118">
        <f t="shared" si="3"/>
        <v>18</v>
      </c>
    </row>
    <row r="119" spans="1:7" x14ac:dyDescent="0.4">
      <c r="A119" t="s">
        <v>405</v>
      </c>
      <c r="B119" t="s">
        <v>427</v>
      </c>
      <c r="C119" t="s">
        <v>428</v>
      </c>
      <c r="D119" t="s">
        <v>267</v>
      </c>
      <c r="E119" t="s">
        <v>5</v>
      </c>
      <c r="F119">
        <v>4</v>
      </c>
      <c r="G119">
        <f t="shared" si="3"/>
        <v>36</v>
      </c>
    </row>
    <row r="120" spans="1:7" x14ac:dyDescent="0.4">
      <c r="A120" t="s">
        <v>408</v>
      </c>
      <c r="B120" s="1" t="s">
        <v>278</v>
      </c>
      <c r="C120" s="1" t="s">
        <v>279</v>
      </c>
      <c r="D120" s="1" t="s">
        <v>267</v>
      </c>
      <c r="E120" s="1" t="s">
        <v>5</v>
      </c>
      <c r="F120" s="1">
        <v>1</v>
      </c>
      <c r="G120" s="1">
        <f t="shared" si="3"/>
        <v>9</v>
      </c>
    </row>
    <row r="121" spans="1:7" x14ac:dyDescent="0.4">
      <c r="A121" t="s">
        <v>411</v>
      </c>
      <c r="B121" s="1" t="s">
        <v>290</v>
      </c>
      <c r="C121" s="1" t="s">
        <v>291</v>
      </c>
      <c r="D121" s="1" t="s">
        <v>267</v>
      </c>
      <c r="E121" s="1" t="s">
        <v>5</v>
      </c>
      <c r="F121" s="1">
        <v>3</v>
      </c>
      <c r="G121" s="1">
        <f t="shared" si="3"/>
        <v>27</v>
      </c>
    </row>
    <row r="122" spans="1:7" x14ac:dyDescent="0.4">
      <c r="A122" t="s">
        <v>414</v>
      </c>
      <c r="B122" t="s">
        <v>418</v>
      </c>
      <c r="C122" t="s">
        <v>419</v>
      </c>
      <c r="D122" t="s">
        <v>267</v>
      </c>
      <c r="E122" t="s">
        <v>5</v>
      </c>
      <c r="F122">
        <v>1</v>
      </c>
      <c r="G122">
        <f t="shared" si="3"/>
        <v>9</v>
      </c>
    </row>
    <row r="123" spans="1:7" x14ac:dyDescent="0.4">
      <c r="A123" t="s">
        <v>417</v>
      </c>
      <c r="B123" s="1" t="s">
        <v>272</v>
      </c>
      <c r="C123" s="1" t="s">
        <v>273</v>
      </c>
      <c r="D123" s="1" t="s">
        <v>267</v>
      </c>
      <c r="E123" s="1" t="s">
        <v>5</v>
      </c>
      <c r="F123" s="1">
        <v>2</v>
      </c>
      <c r="G123" s="1">
        <f t="shared" si="3"/>
        <v>18</v>
      </c>
    </row>
    <row r="124" spans="1:7" x14ac:dyDescent="0.4">
      <c r="A124" t="s">
        <v>420</v>
      </c>
      <c r="B124" t="s">
        <v>284</v>
      </c>
      <c r="C124" t="s">
        <v>285</v>
      </c>
      <c r="D124" t="s">
        <v>267</v>
      </c>
      <c r="E124" t="s">
        <v>5</v>
      </c>
      <c r="F124">
        <v>2</v>
      </c>
      <c r="G124">
        <f t="shared" si="3"/>
        <v>18</v>
      </c>
    </row>
    <row r="125" spans="1:7" x14ac:dyDescent="0.4">
      <c r="A125" t="s">
        <v>423</v>
      </c>
      <c r="B125" s="1" t="s">
        <v>456</v>
      </c>
      <c r="C125" s="1" t="s">
        <v>457</v>
      </c>
      <c r="D125" s="1" t="s">
        <v>267</v>
      </c>
      <c r="E125" s="1" t="s">
        <v>5</v>
      </c>
      <c r="F125" s="1">
        <v>5</v>
      </c>
      <c r="G125" s="1">
        <f t="shared" si="3"/>
        <v>45</v>
      </c>
    </row>
    <row r="126" spans="1:7" x14ac:dyDescent="0.4">
      <c r="A126" t="s">
        <v>426</v>
      </c>
      <c r="B126" t="s">
        <v>487</v>
      </c>
      <c r="C126" t="s">
        <v>488</v>
      </c>
      <c r="D126" t="s">
        <v>267</v>
      </c>
      <c r="E126" t="s">
        <v>5</v>
      </c>
      <c r="F126">
        <v>1</v>
      </c>
      <c r="G126">
        <f t="shared" si="3"/>
        <v>9</v>
      </c>
    </row>
    <row r="127" spans="1:7" x14ac:dyDescent="0.4">
      <c r="A127" t="s">
        <v>429</v>
      </c>
      <c r="B127" s="1" t="s">
        <v>269</v>
      </c>
      <c r="C127" s="1" t="s">
        <v>270</v>
      </c>
      <c r="D127" s="1" t="s">
        <v>267</v>
      </c>
      <c r="E127" s="1" t="s">
        <v>5</v>
      </c>
      <c r="F127" s="1">
        <v>4</v>
      </c>
      <c r="G127" s="1">
        <f t="shared" si="3"/>
        <v>36</v>
      </c>
    </row>
    <row r="128" spans="1:7" x14ac:dyDescent="0.4">
      <c r="A128" t="s">
        <v>432</v>
      </c>
      <c r="B128" s="1" t="s">
        <v>275</v>
      </c>
      <c r="C128" s="1" t="s">
        <v>276</v>
      </c>
      <c r="D128" s="1" t="s">
        <v>267</v>
      </c>
      <c r="E128" s="1" t="s">
        <v>5</v>
      </c>
      <c r="F128" s="1">
        <v>1</v>
      </c>
      <c r="G128" s="1">
        <f t="shared" si="3"/>
        <v>9</v>
      </c>
    </row>
    <row r="129" spans="1:7" x14ac:dyDescent="0.4">
      <c r="A129" t="s">
        <v>435</v>
      </c>
      <c r="B129" s="1" t="s">
        <v>265</v>
      </c>
      <c r="C129" s="1" t="s">
        <v>266</v>
      </c>
      <c r="D129" s="1" t="s">
        <v>267</v>
      </c>
      <c r="E129" s="1" t="s">
        <v>5</v>
      </c>
      <c r="F129" s="1">
        <v>10</v>
      </c>
      <c r="G129" s="1">
        <f t="shared" si="3"/>
        <v>90</v>
      </c>
    </row>
    <row r="130" spans="1:7" x14ac:dyDescent="0.4">
      <c r="A130" t="s">
        <v>438</v>
      </c>
      <c r="B130" s="1" t="s">
        <v>296</v>
      </c>
      <c r="C130" s="1" t="s">
        <v>297</v>
      </c>
      <c r="D130" s="1" t="s">
        <v>267</v>
      </c>
      <c r="E130" s="1" t="s">
        <v>5</v>
      </c>
      <c r="F130" s="1">
        <v>1</v>
      </c>
      <c r="G130" s="1">
        <f t="shared" ref="G130:G161" si="4">F130*3*3</f>
        <v>9</v>
      </c>
    </row>
    <row r="131" spans="1:7" x14ac:dyDescent="0.4">
      <c r="A131" t="s">
        <v>441</v>
      </c>
      <c r="B131" s="1" t="s">
        <v>305</v>
      </c>
      <c r="C131" s="1" t="s">
        <v>306</v>
      </c>
      <c r="D131" s="1" t="s">
        <v>267</v>
      </c>
      <c r="E131" s="1" t="s">
        <v>5</v>
      </c>
      <c r="F131" s="1">
        <v>1</v>
      </c>
      <c r="G131" s="1">
        <f t="shared" si="4"/>
        <v>9</v>
      </c>
    </row>
    <row r="132" spans="1:7" x14ac:dyDescent="0.4">
      <c r="A132" t="s">
        <v>444</v>
      </c>
      <c r="B132" s="1" t="s">
        <v>493</v>
      </c>
      <c r="C132" s="1" t="s">
        <v>494</v>
      </c>
      <c r="D132" s="1" t="s">
        <v>267</v>
      </c>
      <c r="E132" s="1" t="s">
        <v>5</v>
      </c>
      <c r="F132" s="1">
        <v>2</v>
      </c>
      <c r="G132" s="1">
        <f t="shared" si="4"/>
        <v>18</v>
      </c>
    </row>
    <row r="133" spans="1:7" x14ac:dyDescent="0.4">
      <c r="A133" t="s">
        <v>446</v>
      </c>
      <c r="B133" s="1" t="s">
        <v>302</v>
      </c>
      <c r="C133" s="1" t="s">
        <v>303</v>
      </c>
      <c r="D133" s="1" t="s">
        <v>267</v>
      </c>
      <c r="E133" s="1" t="s">
        <v>5</v>
      </c>
      <c r="F133" s="1">
        <v>1</v>
      </c>
      <c r="G133" s="1">
        <f t="shared" si="4"/>
        <v>9</v>
      </c>
    </row>
    <row r="134" spans="1:7" x14ac:dyDescent="0.4">
      <c r="A134" t="s">
        <v>449</v>
      </c>
      <c r="B134" s="1" t="s">
        <v>293</v>
      </c>
      <c r="C134" s="1" t="s">
        <v>294</v>
      </c>
      <c r="D134" s="1" t="s">
        <v>267</v>
      </c>
      <c r="E134" s="1" t="s">
        <v>5</v>
      </c>
      <c r="F134" s="1">
        <v>2</v>
      </c>
      <c r="G134" s="1">
        <f t="shared" si="4"/>
        <v>18</v>
      </c>
    </row>
    <row r="135" spans="1:7" x14ac:dyDescent="0.4">
      <c r="A135" t="s">
        <v>452</v>
      </c>
      <c r="B135" t="s">
        <v>299</v>
      </c>
      <c r="C135" t="s">
        <v>300</v>
      </c>
      <c r="D135" t="s">
        <v>267</v>
      </c>
      <c r="E135" t="s">
        <v>5</v>
      </c>
      <c r="F135">
        <v>1</v>
      </c>
      <c r="G135">
        <f t="shared" si="4"/>
        <v>9</v>
      </c>
    </row>
    <row r="136" spans="1:7" x14ac:dyDescent="0.4">
      <c r="A136" t="s">
        <v>455</v>
      </c>
      <c r="B136" s="1" t="s">
        <v>287</v>
      </c>
      <c r="C136" s="1" t="s">
        <v>288</v>
      </c>
      <c r="D136" s="1" t="s">
        <v>267</v>
      </c>
      <c r="E136" s="1" t="s">
        <v>5</v>
      </c>
      <c r="F136" s="1">
        <v>1</v>
      </c>
      <c r="G136" s="1">
        <f t="shared" si="4"/>
        <v>9</v>
      </c>
    </row>
    <row r="137" spans="1:7" x14ac:dyDescent="0.4">
      <c r="A137" t="s">
        <v>458</v>
      </c>
      <c r="B137" t="s">
        <v>477</v>
      </c>
      <c r="C137" t="s">
        <v>478</v>
      </c>
      <c r="D137" t="s">
        <v>267</v>
      </c>
      <c r="E137" t="s">
        <v>5</v>
      </c>
      <c r="F137">
        <v>1</v>
      </c>
      <c r="G137">
        <f t="shared" si="4"/>
        <v>9</v>
      </c>
    </row>
    <row r="138" spans="1:7" x14ac:dyDescent="0.4">
      <c r="A138" t="s">
        <v>461</v>
      </c>
      <c r="B138" s="1" t="s">
        <v>403</v>
      </c>
      <c r="C138" s="1" t="s">
        <v>404</v>
      </c>
      <c r="D138" s="1" t="s">
        <v>360</v>
      </c>
      <c r="E138" s="1" t="s">
        <v>401</v>
      </c>
      <c r="F138" s="1">
        <v>2</v>
      </c>
      <c r="G138" s="1">
        <f t="shared" si="4"/>
        <v>18</v>
      </c>
    </row>
    <row r="139" spans="1:7" x14ac:dyDescent="0.4">
      <c r="A139" t="s">
        <v>464</v>
      </c>
      <c r="B139" s="1" t="s">
        <v>358</v>
      </c>
      <c r="C139" s="1" t="s">
        <v>359</v>
      </c>
      <c r="D139" s="1" t="s">
        <v>360</v>
      </c>
      <c r="E139" s="1" t="s">
        <v>5</v>
      </c>
      <c r="F139" s="1">
        <v>2</v>
      </c>
      <c r="G139" s="1">
        <f t="shared" si="4"/>
        <v>18</v>
      </c>
    </row>
    <row r="140" spans="1:7" x14ac:dyDescent="0.4">
      <c r="A140" t="s">
        <v>467</v>
      </c>
      <c r="B140" s="1" t="s">
        <v>399</v>
      </c>
      <c r="C140" s="1" t="s">
        <v>400</v>
      </c>
      <c r="D140" s="1" t="s">
        <v>360</v>
      </c>
      <c r="E140" s="1" t="s">
        <v>401</v>
      </c>
      <c r="F140" s="1">
        <v>2</v>
      </c>
      <c r="G140" s="1">
        <f t="shared" si="4"/>
        <v>18</v>
      </c>
    </row>
    <row r="141" spans="1:7" x14ac:dyDescent="0.4">
      <c r="A141" t="s">
        <v>470</v>
      </c>
      <c r="B141" s="1" t="s">
        <v>395</v>
      </c>
      <c r="C141" s="1" t="s">
        <v>396</v>
      </c>
      <c r="D141" s="1" t="s">
        <v>397</v>
      </c>
      <c r="E141" s="1" t="s">
        <v>5</v>
      </c>
      <c r="F141" s="1">
        <v>1</v>
      </c>
      <c r="G141" s="1">
        <f t="shared" si="4"/>
        <v>9</v>
      </c>
    </row>
    <row r="142" spans="1:7" x14ac:dyDescent="0.4">
      <c r="A142" t="s">
        <v>473</v>
      </c>
      <c r="B142" s="1" t="s">
        <v>424</v>
      </c>
      <c r="C142" s="1" t="s">
        <v>425</v>
      </c>
      <c r="D142" s="1" t="s">
        <v>367</v>
      </c>
      <c r="E142" s="1" t="s">
        <v>5</v>
      </c>
      <c r="F142" s="1">
        <v>1</v>
      </c>
      <c r="G142" s="1">
        <f t="shared" si="4"/>
        <v>9</v>
      </c>
    </row>
    <row r="143" spans="1:7" x14ac:dyDescent="0.4">
      <c r="A143" t="s">
        <v>476</v>
      </c>
      <c r="B143" t="s">
        <v>421</v>
      </c>
      <c r="C143" t="s">
        <v>422</v>
      </c>
      <c r="D143" t="s">
        <v>367</v>
      </c>
      <c r="E143" t="s">
        <v>5</v>
      </c>
      <c r="F143">
        <v>1</v>
      </c>
      <c r="G143">
        <f t="shared" si="4"/>
        <v>9</v>
      </c>
    </row>
    <row r="144" spans="1:7" x14ac:dyDescent="0.4">
      <c r="A144" t="s">
        <v>479</v>
      </c>
      <c r="B144" t="s">
        <v>392</v>
      </c>
      <c r="C144" t="s">
        <v>393</v>
      </c>
      <c r="D144" t="s">
        <v>387</v>
      </c>
      <c r="E144" t="s">
        <v>5</v>
      </c>
      <c r="F144">
        <v>1</v>
      </c>
      <c r="G144">
        <f t="shared" si="4"/>
        <v>9</v>
      </c>
    </row>
    <row r="145" spans="1:7" x14ac:dyDescent="0.4">
      <c r="A145" t="s">
        <v>483</v>
      </c>
      <c r="B145" t="s">
        <v>389</v>
      </c>
      <c r="C145" t="s">
        <v>390</v>
      </c>
      <c r="D145" t="s">
        <v>387</v>
      </c>
      <c r="E145" t="s">
        <v>5</v>
      </c>
      <c r="F145">
        <v>1</v>
      </c>
      <c r="G145">
        <f t="shared" si="4"/>
        <v>9</v>
      </c>
    </row>
    <row r="146" spans="1:7" x14ac:dyDescent="0.4">
      <c r="A146" t="s">
        <v>486</v>
      </c>
      <c r="B146" s="1" t="s">
        <v>406</v>
      </c>
      <c r="C146" s="1" t="s">
        <v>407</v>
      </c>
      <c r="D146" s="1" t="s">
        <v>367</v>
      </c>
      <c r="E146" s="1" t="s">
        <v>5</v>
      </c>
      <c r="F146" s="1">
        <v>1</v>
      </c>
      <c r="G146" s="1">
        <f t="shared" si="4"/>
        <v>9</v>
      </c>
    </row>
    <row r="147" spans="1:7" x14ac:dyDescent="0.4">
      <c r="A147" t="s">
        <v>489</v>
      </c>
      <c r="B147" s="1" t="s">
        <v>412</v>
      </c>
      <c r="C147" s="1" t="s">
        <v>413</v>
      </c>
      <c r="D147" s="1" t="s">
        <v>367</v>
      </c>
      <c r="E147" s="1" t="s">
        <v>5</v>
      </c>
      <c r="F147" s="1">
        <v>1</v>
      </c>
      <c r="G147" s="1">
        <f t="shared" si="4"/>
        <v>9</v>
      </c>
    </row>
    <row r="148" spans="1:7" x14ac:dyDescent="0.4">
      <c r="A148" t="s">
        <v>492</v>
      </c>
      <c r="B148" t="s">
        <v>480</v>
      </c>
      <c r="C148" t="s">
        <v>481</v>
      </c>
      <c r="D148" t="s">
        <v>482</v>
      </c>
      <c r="E148" t="s">
        <v>5</v>
      </c>
      <c r="F148">
        <v>1</v>
      </c>
      <c r="G148">
        <f t="shared" si="4"/>
        <v>9</v>
      </c>
    </row>
    <row r="149" spans="1:7" x14ac:dyDescent="0.4">
      <c r="A149" t="s">
        <v>495</v>
      </c>
      <c r="B149" s="1" t="s">
        <v>365</v>
      </c>
      <c r="C149" s="1" t="s">
        <v>366</v>
      </c>
      <c r="D149" s="1" t="s">
        <v>367</v>
      </c>
      <c r="E149" s="1" t="s">
        <v>5</v>
      </c>
      <c r="F149" s="1">
        <v>1</v>
      </c>
      <c r="G149" s="1">
        <f t="shared" si="4"/>
        <v>9</v>
      </c>
    </row>
    <row r="150" spans="1:7" x14ac:dyDescent="0.4">
      <c r="A150" t="s">
        <v>498</v>
      </c>
      <c r="B150" t="s">
        <v>379</v>
      </c>
      <c r="C150" t="s">
        <v>380</v>
      </c>
      <c r="D150" t="s">
        <v>367</v>
      </c>
      <c r="E150" t="s">
        <v>5</v>
      </c>
      <c r="F150">
        <v>1</v>
      </c>
      <c r="G150">
        <f t="shared" si="4"/>
        <v>9</v>
      </c>
    </row>
    <row r="151" spans="1:7" x14ac:dyDescent="0.4">
      <c r="A151" t="s">
        <v>501</v>
      </c>
      <c r="B151" s="1" t="s">
        <v>382</v>
      </c>
      <c r="C151" s="1" t="s">
        <v>383</v>
      </c>
      <c r="D151" s="1" t="s">
        <v>367</v>
      </c>
      <c r="E151" s="1" t="s">
        <v>5</v>
      </c>
      <c r="F151" s="1">
        <v>1</v>
      </c>
      <c r="G151" s="1">
        <f t="shared" si="4"/>
        <v>9</v>
      </c>
    </row>
    <row r="152" spans="1:7" x14ac:dyDescent="0.4">
      <c r="A152" t="s">
        <v>504</v>
      </c>
      <c r="B152" s="1" t="s">
        <v>385</v>
      </c>
      <c r="C152" s="1" t="s">
        <v>386</v>
      </c>
      <c r="D152" s="1" t="s">
        <v>387</v>
      </c>
      <c r="E152" s="1" t="s">
        <v>5</v>
      </c>
      <c r="F152" s="1">
        <v>1</v>
      </c>
      <c r="G152" s="1">
        <f t="shared" si="4"/>
        <v>9</v>
      </c>
    </row>
    <row r="153" spans="1:7" x14ac:dyDescent="0.4">
      <c r="A153" t="s">
        <v>507</v>
      </c>
      <c r="B153" s="1" t="s">
        <v>409</v>
      </c>
      <c r="C153" s="1" t="s">
        <v>410</v>
      </c>
      <c r="D153" s="1" t="s">
        <v>367</v>
      </c>
      <c r="E153" s="1" t="s">
        <v>5</v>
      </c>
      <c r="F153" s="1">
        <v>1</v>
      </c>
      <c r="G153" s="1">
        <f t="shared" si="4"/>
        <v>9</v>
      </c>
    </row>
    <row r="154" spans="1:7" x14ac:dyDescent="0.4">
      <c r="A154" t="s">
        <v>510</v>
      </c>
      <c r="B154" t="s">
        <v>484</v>
      </c>
      <c r="C154" t="s">
        <v>485</v>
      </c>
      <c r="D154" t="s">
        <v>482</v>
      </c>
      <c r="E154" t="s">
        <v>5</v>
      </c>
      <c r="F154">
        <v>1</v>
      </c>
      <c r="G154">
        <f t="shared" si="4"/>
        <v>9</v>
      </c>
    </row>
    <row r="155" spans="1:7" x14ac:dyDescent="0.4">
      <c r="A155" t="s">
        <v>513</v>
      </c>
      <c r="B155" s="1" t="s">
        <v>374</v>
      </c>
      <c r="C155" s="1" t="s">
        <v>375</v>
      </c>
      <c r="D155" s="1" t="s">
        <v>376</v>
      </c>
      <c r="E155" s="1" t="s">
        <v>377</v>
      </c>
      <c r="F155" s="1">
        <v>1</v>
      </c>
      <c r="G155" s="1">
        <f t="shared" si="4"/>
        <v>9</v>
      </c>
    </row>
    <row r="156" spans="1:7" x14ac:dyDescent="0.4">
      <c r="A156" t="s">
        <v>516</v>
      </c>
      <c r="B156" s="1" t="s">
        <v>369</v>
      </c>
      <c r="C156" s="1" t="s">
        <v>370</v>
      </c>
      <c r="D156" s="1" t="s">
        <v>371</v>
      </c>
      <c r="E156" s="1" t="s">
        <v>372</v>
      </c>
      <c r="F156" s="1">
        <v>1</v>
      </c>
      <c r="G156" s="1">
        <f t="shared" si="4"/>
        <v>9</v>
      </c>
    </row>
    <row r="157" spans="1:7" x14ac:dyDescent="0.4">
      <c r="A157" t="s">
        <v>519</v>
      </c>
      <c r="B157" s="1" t="s">
        <v>520</v>
      </c>
      <c r="C157" s="1" t="s">
        <v>521</v>
      </c>
      <c r="D157" s="1" t="s">
        <v>522</v>
      </c>
      <c r="E157" s="1" t="s">
        <v>523</v>
      </c>
      <c r="F157" s="1">
        <v>1</v>
      </c>
      <c r="G157" s="1">
        <f t="shared" si="4"/>
        <v>9</v>
      </c>
    </row>
    <row r="158" spans="1:7" x14ac:dyDescent="0.4">
      <c r="A158" t="s">
        <v>524</v>
      </c>
      <c r="B158" s="1" t="s">
        <v>525</v>
      </c>
      <c r="C158" s="1" t="s">
        <v>526</v>
      </c>
      <c r="D158" s="1" t="s">
        <v>527</v>
      </c>
      <c r="E158" s="1" t="s">
        <v>528</v>
      </c>
      <c r="F158" s="1">
        <v>8</v>
      </c>
      <c r="G158" s="1">
        <f t="shared" si="4"/>
        <v>72</v>
      </c>
    </row>
    <row r="159" spans="1:7" x14ac:dyDescent="0.4">
      <c r="A159" t="s">
        <v>529</v>
      </c>
      <c r="B159" s="1" t="s">
        <v>530</v>
      </c>
      <c r="C159" s="1" t="s">
        <v>531</v>
      </c>
      <c r="D159" s="1" t="s">
        <v>532</v>
      </c>
      <c r="E159" s="1" t="s">
        <v>533</v>
      </c>
      <c r="F159" s="1">
        <v>8</v>
      </c>
      <c r="G159" s="1">
        <f t="shared" si="4"/>
        <v>72</v>
      </c>
    </row>
    <row r="160" spans="1:7" x14ac:dyDescent="0.4">
      <c r="A160" t="s">
        <v>534</v>
      </c>
      <c r="B160" t="s">
        <v>535</v>
      </c>
      <c r="C160" t="s">
        <v>536</v>
      </c>
      <c r="D160" t="s">
        <v>537</v>
      </c>
      <c r="E160" t="s">
        <v>538</v>
      </c>
      <c r="F160">
        <v>25</v>
      </c>
      <c r="G160">
        <f t="shared" si="4"/>
        <v>225</v>
      </c>
    </row>
    <row r="161" spans="1:7" x14ac:dyDescent="0.4">
      <c r="A161" t="s">
        <v>539</v>
      </c>
      <c r="B161" s="2" t="s">
        <v>540</v>
      </c>
      <c r="C161" s="2" t="s">
        <v>541</v>
      </c>
      <c r="D161" s="2" t="s">
        <v>542</v>
      </c>
      <c r="E161" s="2" t="s">
        <v>543</v>
      </c>
      <c r="F161" s="2">
        <v>20</v>
      </c>
      <c r="G161" s="2">
        <f t="shared" si="4"/>
        <v>180</v>
      </c>
    </row>
    <row r="162" spans="1:7" x14ac:dyDescent="0.4">
      <c r="A162" t="s">
        <v>544</v>
      </c>
      <c r="B162" s="1" t="s">
        <v>545</v>
      </c>
      <c r="C162" s="1" t="s">
        <v>546</v>
      </c>
      <c r="D162" s="1" t="s">
        <v>547</v>
      </c>
      <c r="E162" s="1" t="s">
        <v>548</v>
      </c>
      <c r="F162" s="1">
        <v>4</v>
      </c>
      <c r="G162" s="1">
        <f t="shared" ref="G162:G188" si="5">F162*3*3</f>
        <v>36</v>
      </c>
    </row>
    <row r="163" spans="1:7" x14ac:dyDescent="0.4">
      <c r="A163" t="s">
        <v>549</v>
      </c>
      <c r="B163" t="s">
        <v>550</v>
      </c>
      <c r="C163" t="s">
        <v>551</v>
      </c>
      <c r="D163" t="s">
        <v>552</v>
      </c>
      <c r="E163" t="s">
        <v>553</v>
      </c>
      <c r="F163">
        <v>2</v>
      </c>
      <c r="G163">
        <f t="shared" si="5"/>
        <v>18</v>
      </c>
    </row>
    <row r="164" spans="1:7" x14ac:dyDescent="0.4">
      <c r="A164" t="s">
        <v>554</v>
      </c>
      <c r="B164" s="1" t="s">
        <v>555</v>
      </c>
      <c r="C164" s="1" t="s">
        <v>556</v>
      </c>
      <c r="D164" s="1" t="s">
        <v>557</v>
      </c>
      <c r="E164" s="1" t="s">
        <v>558</v>
      </c>
      <c r="F164" s="1">
        <v>1</v>
      </c>
      <c r="G164" s="1">
        <f t="shared" si="5"/>
        <v>9</v>
      </c>
    </row>
    <row r="165" spans="1:7" x14ac:dyDescent="0.4">
      <c r="A165" t="s">
        <v>559</v>
      </c>
      <c r="B165" s="1" t="s">
        <v>560</v>
      </c>
      <c r="C165" s="1" t="s">
        <v>561</v>
      </c>
      <c r="D165" s="1" t="s">
        <v>562</v>
      </c>
      <c r="E165" s="1" t="s">
        <v>563</v>
      </c>
      <c r="F165" s="1">
        <v>2</v>
      </c>
      <c r="G165" s="1">
        <f t="shared" si="5"/>
        <v>18</v>
      </c>
    </row>
    <row r="166" spans="1:7" x14ac:dyDescent="0.4">
      <c r="A166" t="s">
        <v>564</v>
      </c>
      <c r="B166" s="1" t="s">
        <v>565</v>
      </c>
      <c r="C166" s="1" t="s">
        <v>566</v>
      </c>
      <c r="D166" s="1" t="s">
        <v>567</v>
      </c>
      <c r="E166" s="1" t="s">
        <v>568</v>
      </c>
      <c r="F166" s="1">
        <v>4</v>
      </c>
      <c r="G166" s="1">
        <f t="shared" si="5"/>
        <v>36</v>
      </c>
    </row>
    <row r="167" spans="1:7" x14ac:dyDescent="0.4">
      <c r="A167" t="s">
        <v>569</v>
      </c>
      <c r="B167" s="1" t="s">
        <v>570</v>
      </c>
      <c r="C167" s="1" t="s">
        <v>571</v>
      </c>
      <c r="D167" s="1" t="s">
        <v>572</v>
      </c>
      <c r="E167" s="1" t="s">
        <v>573</v>
      </c>
      <c r="F167" s="1">
        <v>4</v>
      </c>
      <c r="G167" s="1">
        <f t="shared" si="5"/>
        <v>36</v>
      </c>
    </row>
    <row r="168" spans="1:7" x14ac:dyDescent="0.4">
      <c r="A168" t="s">
        <v>574</v>
      </c>
      <c r="B168" s="1" t="s">
        <v>575</v>
      </c>
      <c r="C168" s="1" t="s">
        <v>576</v>
      </c>
      <c r="D168" s="1" t="s">
        <v>562</v>
      </c>
      <c r="E168" s="1" t="s">
        <v>577</v>
      </c>
      <c r="F168" s="1">
        <v>2</v>
      </c>
      <c r="G168" s="1">
        <f t="shared" si="5"/>
        <v>18</v>
      </c>
    </row>
    <row r="169" spans="1:7" x14ac:dyDescent="0.4">
      <c r="A169" t="s">
        <v>578</v>
      </c>
      <c r="B169" s="1" t="s">
        <v>579</v>
      </c>
      <c r="C169" s="1" t="s">
        <v>580</v>
      </c>
      <c r="D169" s="1" t="s">
        <v>562</v>
      </c>
      <c r="E169" s="1" t="s">
        <v>577</v>
      </c>
      <c r="F169" s="1">
        <v>4</v>
      </c>
      <c r="G169" s="1">
        <f t="shared" si="5"/>
        <v>36</v>
      </c>
    </row>
    <row r="170" spans="1:7" x14ac:dyDescent="0.4">
      <c r="A170" t="s">
        <v>581</v>
      </c>
      <c r="B170" t="s">
        <v>582</v>
      </c>
      <c r="C170" t="s">
        <v>583</v>
      </c>
      <c r="D170" t="s">
        <v>584</v>
      </c>
      <c r="E170" t="s">
        <v>585</v>
      </c>
      <c r="F170">
        <v>20</v>
      </c>
      <c r="G170">
        <f t="shared" si="5"/>
        <v>180</v>
      </c>
    </row>
    <row r="171" spans="1:7" x14ac:dyDescent="0.4">
      <c r="A171" t="s">
        <v>586</v>
      </c>
      <c r="B171" s="1" t="s">
        <v>587</v>
      </c>
      <c r="C171" s="1" t="s">
        <v>588</v>
      </c>
      <c r="D171" s="1" t="s">
        <v>522</v>
      </c>
      <c r="E171" s="1" t="s">
        <v>589</v>
      </c>
      <c r="F171" s="1">
        <v>10</v>
      </c>
      <c r="G171" s="1">
        <f t="shared" si="5"/>
        <v>90</v>
      </c>
    </row>
    <row r="172" spans="1:7" x14ac:dyDescent="0.4">
      <c r="A172" t="s">
        <v>590</v>
      </c>
      <c r="B172" s="1" t="s">
        <v>591</v>
      </c>
      <c r="C172" s="1" t="s">
        <v>592</v>
      </c>
      <c r="D172" s="1" t="s">
        <v>593</v>
      </c>
      <c r="E172" s="1" t="s">
        <v>589</v>
      </c>
      <c r="F172" s="1">
        <v>2</v>
      </c>
      <c r="G172" s="1">
        <f t="shared" si="5"/>
        <v>18</v>
      </c>
    </row>
    <row r="173" spans="1:7" x14ac:dyDescent="0.4">
      <c r="A173" t="s">
        <v>594</v>
      </c>
      <c r="B173" t="s">
        <v>595</v>
      </c>
      <c r="C173" t="s">
        <v>596</v>
      </c>
      <c r="D173" t="s">
        <v>597</v>
      </c>
      <c r="E173" t="s">
        <v>589</v>
      </c>
      <c r="F173">
        <v>10</v>
      </c>
      <c r="G173">
        <f t="shared" si="5"/>
        <v>90</v>
      </c>
    </row>
    <row r="174" spans="1:7" x14ac:dyDescent="0.4">
      <c r="A174" t="s">
        <v>598</v>
      </c>
      <c r="B174" s="1" t="s">
        <v>599</v>
      </c>
      <c r="C174" s="1" t="s">
        <v>600</v>
      </c>
      <c r="D174" s="1" t="s">
        <v>593</v>
      </c>
      <c r="E174" s="1" t="s">
        <v>589</v>
      </c>
      <c r="F174" s="1">
        <v>1</v>
      </c>
      <c r="G174" s="1">
        <f t="shared" si="5"/>
        <v>9</v>
      </c>
    </row>
    <row r="175" spans="1:7" x14ac:dyDescent="0.4">
      <c r="A175" t="s">
        <v>601</v>
      </c>
      <c r="B175" s="1" t="s">
        <v>602</v>
      </c>
      <c r="C175" s="1" t="s">
        <v>603</v>
      </c>
      <c r="D175" s="1" t="s">
        <v>604</v>
      </c>
      <c r="E175" s="1" t="s">
        <v>605</v>
      </c>
      <c r="F175" s="1">
        <v>1</v>
      </c>
      <c r="G175" s="1">
        <f t="shared" si="5"/>
        <v>9</v>
      </c>
    </row>
    <row r="176" spans="1:7" x14ac:dyDescent="0.4">
      <c r="A176" t="s">
        <v>606</v>
      </c>
      <c r="B176" t="s">
        <v>607</v>
      </c>
      <c r="C176" t="s">
        <v>608</v>
      </c>
      <c r="D176" t="s">
        <v>191</v>
      </c>
      <c r="E176" t="s">
        <v>589</v>
      </c>
      <c r="F176">
        <v>1</v>
      </c>
      <c r="G176">
        <f t="shared" si="5"/>
        <v>9</v>
      </c>
    </row>
    <row r="177" spans="1:7" x14ac:dyDescent="0.4">
      <c r="A177" t="s">
        <v>609</v>
      </c>
      <c r="B177" s="1" t="s">
        <v>610</v>
      </c>
      <c r="C177" s="1" t="s">
        <v>611</v>
      </c>
      <c r="D177" s="1" t="s">
        <v>612</v>
      </c>
      <c r="E177" s="1" t="s">
        <v>613</v>
      </c>
      <c r="F177" s="1">
        <v>1</v>
      </c>
      <c r="G177" s="1">
        <f t="shared" si="5"/>
        <v>9</v>
      </c>
    </row>
    <row r="178" spans="1:7" x14ac:dyDescent="0.4">
      <c r="A178" t="s">
        <v>614</v>
      </c>
      <c r="B178" t="s">
        <v>615</v>
      </c>
      <c r="C178" t="s">
        <v>616</v>
      </c>
      <c r="D178" t="s">
        <v>612</v>
      </c>
      <c r="E178" t="s">
        <v>543</v>
      </c>
      <c r="F178">
        <v>1</v>
      </c>
      <c r="G178">
        <f t="shared" si="5"/>
        <v>9</v>
      </c>
    </row>
    <row r="179" spans="1:7" x14ac:dyDescent="0.4">
      <c r="A179" t="s">
        <v>617</v>
      </c>
      <c r="B179" t="s">
        <v>618</v>
      </c>
      <c r="C179" t="s">
        <v>619</v>
      </c>
      <c r="D179" t="s">
        <v>620</v>
      </c>
      <c r="E179" t="s">
        <v>613</v>
      </c>
      <c r="F179">
        <v>1</v>
      </c>
      <c r="G179">
        <f t="shared" si="5"/>
        <v>9</v>
      </c>
    </row>
    <row r="180" spans="1:7" x14ac:dyDescent="0.4">
      <c r="A180" t="s">
        <v>621</v>
      </c>
      <c r="B180" t="s">
        <v>622</v>
      </c>
      <c r="C180" t="s">
        <v>623</v>
      </c>
      <c r="D180" t="s">
        <v>620</v>
      </c>
      <c r="E180" t="s">
        <v>613</v>
      </c>
      <c r="F180">
        <v>1</v>
      </c>
      <c r="G180">
        <f t="shared" si="5"/>
        <v>9</v>
      </c>
    </row>
    <row r="181" spans="1:7" x14ac:dyDescent="0.4">
      <c r="A181" t="s">
        <v>624</v>
      </c>
      <c r="B181" t="s">
        <v>625</v>
      </c>
      <c r="C181" t="s">
        <v>626</v>
      </c>
      <c r="D181" t="s">
        <v>522</v>
      </c>
      <c r="E181" t="s">
        <v>589</v>
      </c>
      <c r="F181">
        <v>1</v>
      </c>
      <c r="G181">
        <f t="shared" si="5"/>
        <v>9</v>
      </c>
    </row>
    <row r="182" spans="1:7" x14ac:dyDescent="0.4">
      <c r="A182" t="s">
        <v>627</v>
      </c>
      <c r="B182" t="s">
        <v>628</v>
      </c>
      <c r="C182" t="s">
        <v>629</v>
      </c>
      <c r="D182" t="s">
        <v>630</v>
      </c>
      <c r="E182" t="s">
        <v>631</v>
      </c>
      <c r="F182">
        <v>2</v>
      </c>
      <c r="G182">
        <f t="shared" si="5"/>
        <v>18</v>
      </c>
    </row>
    <row r="183" spans="1:7" x14ac:dyDescent="0.4">
      <c r="A183" t="s">
        <v>632</v>
      </c>
      <c r="B183" t="s">
        <v>633</v>
      </c>
      <c r="C183" t="s">
        <v>634</v>
      </c>
      <c r="D183" t="s">
        <v>635</v>
      </c>
      <c r="E183" t="s">
        <v>631</v>
      </c>
      <c r="F183">
        <v>1</v>
      </c>
      <c r="G183">
        <f t="shared" si="5"/>
        <v>9</v>
      </c>
    </row>
    <row r="184" spans="1:7" x14ac:dyDescent="0.4">
      <c r="A184" t="s">
        <v>636</v>
      </c>
      <c r="B184" t="s">
        <v>637</v>
      </c>
      <c r="C184" t="s">
        <v>638</v>
      </c>
      <c r="D184" t="s">
        <v>639</v>
      </c>
      <c r="E184" t="s">
        <v>640</v>
      </c>
      <c r="F184">
        <v>3</v>
      </c>
      <c r="G184">
        <f t="shared" si="5"/>
        <v>27</v>
      </c>
    </row>
    <row r="185" spans="1:7" x14ac:dyDescent="0.4">
      <c r="A185" t="s">
        <v>641</v>
      </c>
      <c r="B185" t="s">
        <v>642</v>
      </c>
      <c r="C185" t="s">
        <v>643</v>
      </c>
      <c r="D185" t="s">
        <v>644</v>
      </c>
      <c r="E185" t="s">
        <v>640</v>
      </c>
      <c r="F185">
        <v>3</v>
      </c>
      <c r="G185">
        <f t="shared" si="5"/>
        <v>27</v>
      </c>
    </row>
    <row r="186" spans="1:7" x14ac:dyDescent="0.4">
      <c r="A186" t="s">
        <v>645</v>
      </c>
      <c r="B186" t="s">
        <v>646</v>
      </c>
      <c r="C186" t="s">
        <v>647</v>
      </c>
      <c r="D186" t="s">
        <v>648</v>
      </c>
      <c r="E186" t="s">
        <v>640</v>
      </c>
      <c r="F186">
        <v>1</v>
      </c>
      <c r="G186">
        <f t="shared" si="5"/>
        <v>9</v>
      </c>
    </row>
    <row r="187" spans="1:7" x14ac:dyDescent="0.4">
      <c r="A187" t="s">
        <v>649</v>
      </c>
      <c r="B187" t="s">
        <v>650</v>
      </c>
      <c r="C187" t="s">
        <v>651</v>
      </c>
      <c r="D187" t="s">
        <v>652</v>
      </c>
      <c r="E187" t="s">
        <v>640</v>
      </c>
      <c r="F187">
        <v>1</v>
      </c>
      <c r="G187">
        <f t="shared" si="5"/>
        <v>9</v>
      </c>
    </row>
    <row r="188" spans="1:7" x14ac:dyDescent="0.4">
      <c r="A188" t="s">
        <v>653</v>
      </c>
      <c r="B188" t="s">
        <v>654</v>
      </c>
      <c r="C188" t="s">
        <v>655</v>
      </c>
      <c r="D188" t="s">
        <v>656</v>
      </c>
      <c r="E188" t="s">
        <v>640</v>
      </c>
      <c r="F188">
        <v>1</v>
      </c>
      <c r="G188">
        <f t="shared" si="5"/>
        <v>9</v>
      </c>
    </row>
    <row r="189" spans="1:7" x14ac:dyDescent="0.4">
      <c r="A189" t="s">
        <v>5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4501-E03A-40F7-B5D0-EFDB0CF9D8A2}">
  <dimension ref="A1"/>
  <sheetViews>
    <sheetView topLeftCell="A151" workbookViewId="0">
      <selection activeCell="D177" sqref="D177"/>
    </sheetView>
  </sheetViews>
  <sheetFormatPr defaultRowHeight="14.6" x14ac:dyDescent="0.4"/>
  <cols>
    <col min="1" max="1" width="7.765625" customWidth="1"/>
    <col min="2" max="2" width="63.921875" customWidth="1"/>
    <col min="5" max="5" width="15.921875" customWidth="1"/>
    <col min="8" max="8" width="35.38281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BOM_PCB_PCB_LINE2_base_channel_</vt:lpstr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2025-11-20T05:17:56Z</dcterms:created>
  <dcterms:modified xsi:type="dcterms:W3CDTF">2026-01-19T08:52:06Z</dcterms:modified>
  <cp:category/>
</cp:coreProperties>
</file>